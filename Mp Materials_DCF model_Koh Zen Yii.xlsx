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osk\Downloads\"/>
    </mc:Choice>
  </mc:AlternateContent>
  <xr:revisionPtr revIDLastSave="0" documentId="13_ncr:1_{4502034C-D814-4EE1-B3C2-26029F749CE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12" r:id="rId1"/>
    <sheet name="DCF model" sheetId="11" r:id="rId2"/>
    <sheet name="Forecast Calculation" sheetId="6" r:id="rId3"/>
    <sheet name="Assumption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1" l="1"/>
  <c r="F39" i="11"/>
  <c r="I61" i="11"/>
  <c r="D20" i="12"/>
  <c r="D19" i="12"/>
  <c r="D12" i="11" l="1"/>
  <c r="D22" i="11"/>
  <c r="D19" i="11"/>
  <c r="I12" i="11"/>
  <c r="I15" i="11" s="1"/>
  <c r="I20" i="11" s="1"/>
  <c r="E12" i="11"/>
  <c r="F12" i="11"/>
  <c r="F15" i="11" s="1"/>
  <c r="F20" i="11" s="1"/>
  <c r="G12" i="11"/>
  <c r="G15" i="11" s="1"/>
  <c r="G20" i="11" s="1"/>
  <c r="H12" i="11"/>
  <c r="H15" i="11" s="1"/>
  <c r="H20" i="11" s="1"/>
  <c r="F30" i="11"/>
  <c r="F4" i="11"/>
  <c r="G4" i="11" s="1"/>
  <c r="H4" i="11" s="1"/>
  <c r="I4" i="11" s="1"/>
  <c r="D4" i="11"/>
  <c r="F38" i="11"/>
  <c r="F37" i="11"/>
  <c r="F35" i="11"/>
  <c r="B57" i="9"/>
  <c r="B58" i="9"/>
  <c r="B54" i="6"/>
  <c r="D54" i="6" s="1"/>
  <c r="B56" i="6"/>
  <c r="D56" i="6" s="1"/>
  <c r="B59" i="6"/>
  <c r="B61" i="6"/>
  <c r="B62" i="6"/>
  <c r="F62" i="6" s="1"/>
  <c r="C63" i="6"/>
  <c r="D41" i="6"/>
  <c r="D45" i="6" s="1"/>
  <c r="F42" i="6"/>
  <c r="F43" i="6"/>
  <c r="G44" i="6"/>
  <c r="G45" i="6" s="1"/>
  <c r="C45" i="6"/>
  <c r="C30" i="6" s="1"/>
  <c r="E45" i="6"/>
  <c r="E30" i="6" s="1"/>
  <c r="B26" i="6"/>
  <c r="B28" i="6"/>
  <c r="C34" i="6"/>
  <c r="D34" i="6"/>
  <c r="E34" i="6"/>
  <c r="F34" i="6"/>
  <c r="G34" i="6"/>
  <c r="B37" i="6"/>
  <c r="D24" i="11" l="1"/>
  <c r="D49" i="11" s="1"/>
  <c r="E54" i="6"/>
  <c r="D59" i="11"/>
  <c r="D62" i="6"/>
  <c r="C29" i="6"/>
  <c r="D29" i="6" s="1"/>
  <c r="H54" i="6"/>
  <c r="G54" i="6"/>
  <c r="F54" i="6"/>
  <c r="G30" i="6"/>
  <c r="E62" i="6"/>
  <c r="H62" i="6"/>
  <c r="G62" i="6"/>
  <c r="H56" i="6"/>
  <c r="G56" i="6"/>
  <c r="F56" i="6"/>
  <c r="E56" i="6"/>
  <c r="F45" i="6"/>
  <c r="E29" i="6"/>
  <c r="E31" i="6" s="1"/>
  <c r="E37" i="6" s="1"/>
  <c r="C31" i="6"/>
  <c r="D19" i="6"/>
  <c r="E19" i="6" s="1"/>
  <c r="F19" i="6" s="1"/>
  <c r="G19" i="6" s="1"/>
  <c r="B12" i="6"/>
  <c r="B10" i="6"/>
  <c r="D8" i="6"/>
  <c r="E8" i="6"/>
  <c r="F8" i="6"/>
  <c r="G8" i="6"/>
  <c r="C8" i="6"/>
  <c r="D5" i="6"/>
  <c r="E5" i="6"/>
  <c r="F5" i="6"/>
  <c r="G5" i="6"/>
  <c r="C5" i="6"/>
  <c r="B21" i="6"/>
  <c r="B22" i="6" s="1"/>
  <c r="B20" i="6"/>
  <c r="D30" i="6"/>
  <c r="D31" i="6" l="1"/>
  <c r="D37" i="6" s="1"/>
  <c r="F61" i="11"/>
  <c r="G61" i="11"/>
  <c r="H61" i="11"/>
  <c r="E9" i="6"/>
  <c r="E11" i="6" s="1"/>
  <c r="F29" i="6"/>
  <c r="G29" i="6" s="1"/>
  <c r="G31" i="6" s="1"/>
  <c r="G37" i="6" s="1"/>
  <c r="C9" i="6"/>
  <c r="C11" i="6" s="1"/>
  <c r="F30" i="6"/>
  <c r="G9" i="6"/>
  <c r="G11" i="6" s="1"/>
  <c r="F9" i="6"/>
  <c r="F11" i="6" s="1"/>
  <c r="D26" i="6"/>
  <c r="E26" i="6" s="1"/>
  <c r="F26" i="6" s="1"/>
  <c r="C37" i="6"/>
  <c r="D9" i="6"/>
  <c r="D11" i="6" s="1"/>
  <c r="H55" i="6" l="1"/>
  <c r="H59" i="6"/>
  <c r="G59" i="6"/>
  <c r="G55" i="6"/>
  <c r="F59" i="6"/>
  <c r="F55" i="6"/>
  <c r="D59" i="6"/>
  <c r="D55" i="6"/>
  <c r="E13" i="6"/>
  <c r="E21" i="6" s="1"/>
  <c r="G19" i="11" s="1"/>
  <c r="E55" i="6"/>
  <c r="E59" i="6"/>
  <c r="F31" i="6"/>
  <c r="F37" i="6" s="1"/>
  <c r="C13" i="6"/>
  <c r="C21" i="6" s="1"/>
  <c r="E19" i="11" s="1"/>
  <c r="G10" i="6"/>
  <c r="F10" i="6"/>
  <c r="F13" i="6"/>
  <c r="G61" i="6" s="1"/>
  <c r="D13" i="6"/>
  <c r="D21" i="6" s="1"/>
  <c r="F19" i="11" s="1"/>
  <c r="G13" i="6"/>
  <c r="H61" i="6" s="1"/>
  <c r="E10" i="6"/>
  <c r="C10" i="6"/>
  <c r="D10" i="6"/>
  <c r="F18" i="6"/>
  <c r="E20" i="6"/>
  <c r="C20" i="6"/>
  <c r="D20" i="6"/>
  <c r="F20" i="6"/>
  <c r="G20" i="6"/>
  <c r="E16" i="6"/>
  <c r="E18" i="6"/>
  <c r="D16" i="6"/>
  <c r="D18" i="6"/>
  <c r="G16" i="6"/>
  <c r="G18" i="6"/>
  <c r="C16" i="6"/>
  <c r="C18" i="6"/>
  <c r="F16" i="6"/>
  <c r="D61" i="6" l="1"/>
  <c r="D63" i="6" s="1"/>
  <c r="D64" i="6" s="1"/>
  <c r="G26" i="6"/>
  <c r="F21" i="6"/>
  <c r="H19" i="11" s="1"/>
  <c r="F61" i="6"/>
  <c r="F63" i="6"/>
  <c r="G63" i="6"/>
  <c r="E61" i="6"/>
  <c r="E63" i="6" s="1"/>
  <c r="H63" i="6"/>
  <c r="G21" i="6"/>
  <c r="I19" i="11" s="1"/>
  <c r="D22" i="6"/>
  <c r="E22" i="6"/>
  <c r="C22" i="6"/>
  <c r="E22" i="11" l="1"/>
  <c r="E24" i="11" s="1"/>
  <c r="E49" i="11" s="1"/>
  <c r="E59" i="11" s="1"/>
  <c r="H64" i="6"/>
  <c r="I22" i="11" s="1"/>
  <c r="I24" i="11" s="1"/>
  <c r="I49" i="11" s="1"/>
  <c r="I53" i="11" s="1"/>
  <c r="E64" i="6"/>
  <c r="G64" i="6"/>
  <c r="F64" i="6"/>
  <c r="G22" i="6"/>
  <c r="F22" i="6"/>
  <c r="H22" i="11" l="1"/>
  <c r="H24" i="11" s="1"/>
  <c r="H49" i="11" s="1"/>
  <c r="H59" i="11" s="1"/>
  <c r="H63" i="11" s="1"/>
  <c r="G22" i="11"/>
  <c r="G24" i="11" s="1"/>
  <c r="G49" i="11" s="1"/>
  <c r="G59" i="11" s="1"/>
  <c r="G63" i="11" s="1"/>
  <c r="F22" i="11"/>
  <c r="F24" i="11" s="1"/>
  <c r="F49" i="11" s="1"/>
  <c r="F59" i="11" s="1"/>
  <c r="F63" i="11" s="1"/>
  <c r="I60" i="11"/>
  <c r="I64" i="11" s="1"/>
  <c r="I59" i="11"/>
  <c r="I63" i="11" s="1"/>
  <c r="E63" i="11" l="1"/>
  <c r="C66" i="11" l="1"/>
  <c r="D21" i="12" s="1"/>
  <c r="G70" i="11" l="1"/>
  <c r="G75" i="11" s="1"/>
  <c r="G78" i="11" s="1"/>
  <c r="D15" i="12" s="1"/>
  <c r="D1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tc={0A88C0D0-5A72-446E-AB1E-D3FC800B3317}</author>
  </authors>
  <commentList>
    <comment ref="A34" authorId="0" shapeId="0" xr:uid="{0A88C0D0-5A72-446E-AB1E-D3FC800B33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Average rare earth industry return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tc={3D7EAF2A-7C39-4BE1-ACB3-C9CE47B56C5F}</author>
    <author>tc={3F06E8F1-EBFE-4909-84CD-010010C25A1F}</author>
  </authors>
  <commentList>
    <comment ref="A9" authorId="0" shapeId="0" xr:uid="{3D7EAF2A-7C39-4BE1-ACB3-C9CE47B56C5F}">
      <text>
        <t>[Threaded comment]
Your version of Excel allows you to read this threaded comment; however, any edits to it will get removed if the file is opened in a newer version of Excel. Learn more: https://go.microsoft.com/fwlink/?linkid=870924
Comment:
    * 2025 revenue = total revenue + PPA income
* Assuming after 2026, there would be no more rare earth concentrate sold since it will be internally used for magnet production</t>
      </text>
    </comment>
    <comment ref="A19" authorId="1" shapeId="0" xr:uid="{3F06E8F1-EBFE-4909-84CD-010010C25A1F}">
      <text>
        <t>[Threaded comment]
Your version of Excel allows you to read this threaded comment; however, any edits to it will get removed if the file is opened in a newer version of Excel. Learn more: https://go.microsoft.com/fwlink/?linkid=870924
Comment:
    * Assume that operating expense increase by 3% per year</t>
      </text>
    </comment>
  </commentList>
</comments>
</file>

<file path=xl/sharedStrings.xml><?xml version="1.0" encoding="utf-8"?>
<sst xmlns="http://schemas.openxmlformats.org/spreadsheetml/2006/main" count="325" uniqueCount="251">
  <si>
    <t xml:space="preserve"> </t>
  </si>
  <si>
    <t>WACC</t>
  </si>
  <si>
    <t>Enterprise Value</t>
  </si>
  <si>
    <t>Shares Outstanding</t>
  </si>
  <si>
    <t>All figures in USD thousands unless stated</t>
  </si>
  <si>
    <t>Equity Value</t>
  </si>
  <si>
    <t>UNLEVERED FREE CASH FLOW</t>
  </si>
  <si>
    <t>Current Taxes</t>
  </si>
  <si>
    <t>EBITDA</t>
  </si>
  <si>
    <t>Current Tax</t>
  </si>
  <si>
    <t>Tax Rate</t>
  </si>
  <si>
    <t>PROFIT METRICS</t>
  </si>
  <si>
    <t>Assumptions</t>
  </si>
  <si>
    <t>Debt Value</t>
  </si>
  <si>
    <t>Cost of Debt</t>
  </si>
  <si>
    <t>10y Treasury</t>
  </si>
  <si>
    <t>Beta</t>
  </si>
  <si>
    <t>Market Return</t>
  </si>
  <si>
    <t>Cost of Equity</t>
  </si>
  <si>
    <t>E/ D+E</t>
  </si>
  <si>
    <t>D/ D+E</t>
  </si>
  <si>
    <t>Terminal Value</t>
  </si>
  <si>
    <t>Growth Rate</t>
  </si>
  <si>
    <t xml:space="preserve">Period </t>
  </si>
  <si>
    <t>FCF</t>
  </si>
  <si>
    <t>Perpertuity Growth TV</t>
  </si>
  <si>
    <t>* ( FCF from Y6 and onwards)</t>
  </si>
  <si>
    <t>Terminal value</t>
  </si>
  <si>
    <t>Discount factor</t>
  </si>
  <si>
    <t xml:space="preserve">PV of FCF </t>
  </si>
  <si>
    <t>PV of TV</t>
  </si>
  <si>
    <t>Enterprise Value to Equity Value</t>
  </si>
  <si>
    <t>Long Term Debt</t>
  </si>
  <si>
    <t>Short Term Debt</t>
  </si>
  <si>
    <t>Share Price</t>
  </si>
  <si>
    <t>Other Current Assets</t>
  </si>
  <si>
    <t>Interest Expense</t>
  </si>
  <si>
    <t>2026F</t>
  </si>
  <si>
    <t>2027F</t>
  </si>
  <si>
    <t>2028F</t>
  </si>
  <si>
    <t>2029F</t>
  </si>
  <si>
    <t>2030F</t>
  </si>
  <si>
    <t>Revenue Growth</t>
  </si>
  <si>
    <t>EBITDA Margin</t>
  </si>
  <si>
    <t>2025A</t>
  </si>
  <si>
    <t>Revenue</t>
  </si>
  <si>
    <t>-</t>
  </si>
  <si>
    <t>Magnet Sales</t>
  </si>
  <si>
    <t>Magnet Price</t>
  </si>
  <si>
    <t>NdPr Forecast Revenue</t>
  </si>
  <si>
    <t>Year</t>
  </si>
  <si>
    <t>Total NdPr Produced (kg)</t>
  </si>
  <si>
    <t>Internal Consum. (to feed magnets)</t>
  </si>
  <si>
    <t>External Sales (The Leftover)</t>
  </si>
  <si>
    <t>~310,000</t>
  </si>
  <si>
    <t>~620,000</t>
  </si>
  <si>
    <t>~1,550,000</t>
  </si>
  <si>
    <t>~2,635,000</t>
  </si>
  <si>
    <t>3,100,000 (CAP)</t>
  </si>
  <si>
    <t>Magnet Volume (kg)</t>
  </si>
  <si>
    <t>Total Revenue</t>
  </si>
  <si>
    <t>SG&amp;A (%)</t>
  </si>
  <si>
    <t>Start-up (%)</t>
  </si>
  <si>
    <t>Adv. projects (%)</t>
  </si>
  <si>
    <t>EBITDA margin (%)</t>
  </si>
  <si>
    <t>Cost of Sales (%)</t>
  </si>
  <si>
    <t>Logic: Mining/processing has HIGH fixed costs, LOW variable costs</t>
  </si>
  <si>
    <t>2025A: 70% — only 1,994 MT NdPr sold, fixed costs not covered</t>
  </si>
  <si>
    <t>2026F: 62% — volume nearly doubles, fixed cost leverage kicks in</t>
  </si>
  <si>
    <t>2027F: 55% — full NdPr ramp + magnets (higher margin product) in mix</t>
  </si>
  <si>
    <t>2028F: 50% — magnets growing share of revenue, better unit economics</t>
  </si>
  <si>
    <t>2029F: 46% — 10X scaling, further operating leverage</t>
  </si>
  <si>
    <t>2030F: 43% — approaching mature integrated operation efficiency</t>
  </si>
  <si>
    <t>Why magnets improve CoS%:</t>
  </si>
  <si>
    <t>NdPr raw material is already "paid for" internally at cost</t>
  </si>
  <si>
    <t>Magnet processing adds value with relatively fixed equipment costs</t>
  </si>
  <si>
    <t>Revenue per kg is 3-5× higher but incremental cost is much lower</t>
  </si>
  <si>
    <t>Justification</t>
  </si>
  <si>
    <t>Elevated due to heavy hiring, management buildout, and pre-operational costs for 10X facility.</t>
  </si>
  <si>
    <t>Revenue scales rapidly while SG&amp;A grows modestly; operating leverage begins.</t>
  </si>
  <si>
    <t>Continued revenue expansion (magnets ramp); SG&amp;A grows slower than revenue.</t>
  </si>
  <si>
    <t>Organizational structure largely built; incremental admin costs minimal.</t>
  </si>
  <si>
    <t>Near steady-state operations; efficiency gains from scale.</t>
  </si>
  <si>
    <t>Mature phase; SG&amp;A stabilizes with inflation-level growth.</t>
  </si>
  <si>
    <t>Metrics</t>
  </si>
  <si>
    <t>Expected NdPr Price</t>
  </si>
  <si>
    <t>Forecast ($)</t>
  </si>
  <si>
    <t>Justification (The "Why")</t>
  </si>
  <si>
    <t>Phase</t>
  </si>
  <si>
    <t>$4.3M</t>
  </si>
  <si>
    <t>Late Construction</t>
  </si>
  <si>
    <t>$15.0M</t>
  </si>
  <si>
    <t>$10.0M</t>
  </si>
  <si>
    <t>Early Prep</t>
  </si>
  <si>
    <t>$20.0M</t>
  </si>
  <si>
    <t>Peak Commissioning</t>
  </si>
  <si>
    <t>Ramp-up</t>
  </si>
  <si>
    <t>$5.0M</t>
  </si>
  <si>
    <t>Maturity</t>
  </si>
  <si>
    <t>* Commissioning means Commissioning here refers to the final rigorous testing and calibration phase of the $1.25 billion 10X facility to ensure the machines can safely and precisely produce commercial-grade magnets for customers like GM and Apple.</t>
  </si>
  <si>
    <t>Hot Commissioning, 10-K form warned "may increase"</t>
  </si>
  <si>
    <t>Advanced Projects ($K)</t>
  </si>
  <si>
    <t>Normalized base (ex-deal costs)</t>
  </si>
  <si>
    <t>Pilots + early HREE/process work</t>
  </si>
  <si>
    <t>HREE development + scaling engineering</t>
  </si>
  <si>
    <t>10X commissioning &amp; product qualification (peak)</t>
  </si>
  <si>
    <t>Step-down as processes mature</t>
  </si>
  <si>
    <t>Steady-state incremental R&amp;D</t>
  </si>
  <si>
    <t>Beginning PP&amp;E</t>
  </si>
  <si>
    <t>Depreciation Schedule</t>
  </si>
  <si>
    <t>(+) CapEx</t>
  </si>
  <si>
    <t>Annual Charge</t>
  </si>
  <si>
    <t>2025 CapEx (172M)</t>
  </si>
  <si>
    <t>Total New Depreciation</t>
  </si>
  <si>
    <t>(-) Existing Assets Depreciation</t>
  </si>
  <si>
    <t>Implied rate</t>
  </si>
  <si>
    <t>172M /15 years</t>
  </si>
  <si>
    <t>2026 CapEx (150M)</t>
  </si>
  <si>
    <t>2027 CapEx (400M)</t>
  </si>
  <si>
    <t>2028 CapEx (500M)</t>
  </si>
  <si>
    <t>2029 CapEx (200M)</t>
  </si>
  <si>
    <t>150M/25 years</t>
  </si>
  <si>
    <t>400M/25 years</t>
  </si>
  <si>
    <t>500M/ 25 years</t>
  </si>
  <si>
    <t>200M/25 years</t>
  </si>
  <si>
    <t>* The 10x facility ($1.25B) is built in 2026–2027, becomes operational in 2029, and is depreciated over 25 years at $50M per year.</t>
  </si>
  <si>
    <t>* From 2026–2029, CapEx reflects only the $1.25B 10x facility (no other spending assumed).</t>
  </si>
  <si>
    <t>REO Production (MT)</t>
  </si>
  <si>
    <t>Rate per MT ($)</t>
  </si>
  <si>
    <t>(-) Total New Depreciation</t>
  </si>
  <si>
    <t xml:space="preserve"> (=) Total Depreciation</t>
  </si>
  <si>
    <t>(= ) Total Depletion ($)</t>
  </si>
  <si>
    <t>Amortization expense (intangibles)</t>
  </si>
  <si>
    <t>Amortization expense (PPA)</t>
  </si>
  <si>
    <t>Total DDA</t>
  </si>
  <si>
    <t>Total Revenue (including PPA)</t>
  </si>
  <si>
    <t>Line Item</t>
  </si>
  <si>
    <t>Accounts Receivable</t>
  </si>
  <si>
    <t>Accounts Payable</t>
  </si>
  <si>
    <t>Net Working Capital (Total)</t>
  </si>
  <si>
    <t>Change in NWC</t>
  </si>
  <si>
    <t>Working Capital</t>
  </si>
  <si>
    <t>2025 % Driver</t>
  </si>
  <si>
    <t>Current Assets</t>
  </si>
  <si>
    <t>Current Liabilities</t>
  </si>
  <si>
    <t>Other Current Liab.</t>
  </si>
  <si>
    <t>Other operating expense</t>
  </si>
  <si>
    <t>Other operating expense (%)</t>
  </si>
  <si>
    <t>Days Inventory Outstanding (DIO)</t>
  </si>
  <si>
    <t xml:space="preserve">* too high so we assume a % of COS in real life scenario where it drop to normalise the inventory </t>
  </si>
  <si>
    <t>% of COS</t>
  </si>
  <si>
    <t>This is contract-specific, not revenue-driven</t>
  </si>
  <si>
    <t>Draw it down as deliveries occur:</t>
  </si>
  <si>
    <t>2026F: $60,000K  (drawing down as magnets deliver to Apple/DoW)</t>
  </si>
  <si>
    <t>2027F: $40,000K  (continued drawdown)</t>
  </si>
  <si>
    <t>2028F: $50,000K  (possible new 10X prepayment from DoW)</t>
  </si>
  <si>
    <t>2029F: $35,000K  (drawing down again)</t>
  </si>
  <si>
    <t>2030F: $25,000K  (normalized level)</t>
  </si>
  <si>
    <t>Original accured liabilities is $95,086K but it consists of $60,289K of construction cost which should be deducted for NWC calculation.</t>
  </si>
  <si>
    <t>34,797 (operating accured liabilities)/ 192,789 (COS) + 112,066 (SGA) = 11.41%</t>
  </si>
  <si>
    <t>Estimate Capex (10x facility)</t>
  </si>
  <si>
    <t>Cash and Cash Equivalent</t>
  </si>
  <si>
    <t>Preferred Stock</t>
  </si>
  <si>
    <t>Fixed costs: ~$120M/yr (power, labor, equipment lease, D&amp;D)</t>
  </si>
  <si>
    <t>Variable costs: ~$20-30/kg NdPr (reagents, consumables)</t>
  </si>
  <si>
    <t>Revenue Stream</t>
  </si>
  <si>
    <r>
      <t xml:space="preserve">The projected NdPr consumptions for both magnet productions and external sales. </t>
    </r>
    <r>
      <rPr>
        <b/>
        <sz val="14"/>
        <color rgb="FFFF0000"/>
        <rFont val="Calibri"/>
        <family val="2"/>
        <scheme val="minor"/>
      </rPr>
      <t>[1]</t>
    </r>
  </si>
  <si>
    <r>
      <t xml:space="preserve">COST OF SALES FORECAST LOGIC </t>
    </r>
    <r>
      <rPr>
        <b/>
        <sz val="11"/>
        <color rgb="FFFF0000"/>
        <rFont val="Calibri"/>
        <family val="2"/>
        <scheme val="minor"/>
      </rPr>
      <t>[2]</t>
    </r>
  </si>
  <si>
    <r>
      <t xml:space="preserve">SGA FORECAST </t>
    </r>
    <r>
      <rPr>
        <b/>
        <sz val="11"/>
        <color rgb="FFFF0000"/>
        <rFont val="Calibri"/>
        <family val="2"/>
        <scheme val="minor"/>
      </rPr>
      <t>[3]</t>
    </r>
  </si>
  <si>
    <r>
      <t xml:space="preserve">START-UP COST FORECAST </t>
    </r>
    <r>
      <rPr>
        <b/>
        <sz val="11"/>
        <color rgb="FFFF0000"/>
        <rFont val="Calibri"/>
        <family val="2"/>
        <scheme val="minor"/>
      </rPr>
      <t>[4]</t>
    </r>
  </si>
  <si>
    <r>
      <t>Baseline:</t>
    </r>
    <r>
      <rPr>
        <sz val="11"/>
        <color rgb="FF1F1F1F"/>
        <rFont val="Calibri"/>
        <family val="2"/>
        <scheme val="minor"/>
      </rPr>
      <t xml:space="preserve"> Minor costs associated with the final "Stage II" magnetic separation refinements.</t>
    </r>
  </si>
  <si>
    <r>
      <t>Independence Ramp:</t>
    </r>
    <r>
      <rPr>
        <sz val="11"/>
        <color rgb="FF1F1F1F"/>
        <rFont val="Calibri"/>
        <family val="2"/>
        <scheme val="minor"/>
      </rPr>
      <t xml:space="preserve"> Significant spike as the Independence facility shifts to 24/7 magnet production. Includes hiring specialized metallurgists and initial "scrap" material waste.</t>
    </r>
  </si>
  <si>
    <r>
      <t>Stabilization:</t>
    </r>
    <r>
      <rPr>
        <sz val="11"/>
        <color rgb="FF1F1F1F"/>
        <rFont val="Calibri"/>
        <family val="2"/>
        <scheme val="minor"/>
      </rPr>
      <t xml:space="preserve"> Independence becomes "commercial," moving these costs to COGS. Remaining $10M represents early site prep and hiring for 10X Texas.</t>
    </r>
  </si>
  <si>
    <r>
      <t>The 10X Peak:</t>
    </r>
    <r>
      <rPr>
        <sz val="11"/>
        <color rgb="FF1F1F1F"/>
        <rFont val="Calibri"/>
        <family val="2"/>
        <scheme val="minor"/>
      </rPr>
      <t xml:space="preserve"> Massive spike for the $1.25B facility. This covers "Dry" and "Wet" testing, high utility surges to heat kilns, and training 1,500 new staff simultaneously.</t>
    </r>
  </si>
  <si>
    <r>
      <t>Scaling Friction:</t>
    </r>
    <r>
      <rPr>
        <sz val="11"/>
        <color rgb="FF1F1F1F"/>
        <rFont val="Calibri"/>
        <family val="2"/>
        <scheme val="minor"/>
      </rPr>
      <t xml:space="preserve"> Costs remain high but decline as the first production lines reach "spec." Focus shifts to calibrating the final expansion lines.</t>
    </r>
  </si>
  <si>
    <r>
      <t>Steady State:</t>
    </r>
    <r>
      <rPr>
        <sz val="11"/>
        <color rgb="FF1F1F1F"/>
        <rFont val="Calibri"/>
        <family val="2"/>
        <scheme val="minor"/>
      </rPr>
      <t xml:space="preserve"> Both plants are fully optimized. Start-up activities essentially cease, leaving only minor costs for new product R&amp;D trials.</t>
    </r>
  </si>
  <si>
    <r>
      <t xml:space="preserve">ADV PROJECTS FORECAST </t>
    </r>
    <r>
      <rPr>
        <sz val="11"/>
        <color rgb="FFFF0000"/>
        <rFont val="Calibri"/>
        <family val="2"/>
        <scheme val="minor"/>
      </rPr>
      <t>[5]</t>
    </r>
  </si>
  <si>
    <t>Revenue Forecast</t>
  </si>
  <si>
    <t>Depreciation Forecast</t>
  </si>
  <si>
    <t>* Ammortization for intangilbe assets is fixed on 1195000 every year until 2030</t>
  </si>
  <si>
    <t>DIO (days)</t>
  </si>
  <si>
    <t>% of CoS</t>
  </si>
  <si>
    <t>Business story</t>
  </si>
  <si>
    <t>Stockpiling — magnet line not ready</t>
  </si>
  <si>
    <t>Consuming stockpile + Independence ramp</t>
  </si>
  <si>
    <t>Stockpile mostly gone, normal cycle forming</t>
  </si>
  <si>
    <t>Near industry normal, 10X starting</t>
  </si>
  <si>
    <t>Industry normal, both facilities running</t>
  </si>
  <si>
    <t>Mature operation, tight inventory management</t>
  </si>
  <si>
    <r>
      <t xml:space="preserve">Inventory  </t>
    </r>
    <r>
      <rPr>
        <b/>
        <sz val="11"/>
        <color rgb="FFFF0000"/>
        <rFont val="Calibri"/>
        <family val="2"/>
        <scheme val="minor"/>
      </rPr>
      <t>[6]</t>
    </r>
  </si>
  <si>
    <r>
      <t xml:space="preserve">Defered Revenue </t>
    </r>
    <r>
      <rPr>
        <b/>
        <sz val="11"/>
        <color rgb="FFFF0000"/>
        <rFont val="Calibri"/>
        <family val="2"/>
        <scheme val="minor"/>
      </rPr>
      <t>[7]</t>
    </r>
  </si>
  <si>
    <r>
      <t xml:space="preserve">Accrued Liabilities: Operating Driver Approach </t>
    </r>
    <r>
      <rPr>
        <b/>
        <sz val="11"/>
        <color rgb="FFFF0000"/>
        <rFont val="Calibri"/>
        <family val="2"/>
        <scheme val="minor"/>
      </rPr>
      <t>[8]</t>
    </r>
  </si>
  <si>
    <r>
      <t xml:space="preserve">Inventory </t>
    </r>
    <r>
      <rPr>
        <sz val="14"/>
        <color rgb="FFFF0000"/>
        <rFont val="Calibri"/>
        <family val="2"/>
        <scheme val="minor"/>
      </rPr>
      <t>[6]</t>
    </r>
  </si>
  <si>
    <r>
      <t>Refined NdPr Volume (in MT)</t>
    </r>
    <r>
      <rPr>
        <sz val="14"/>
        <color rgb="FFFF0000"/>
        <rFont val="Calibri"/>
        <family val="2"/>
        <scheme val="minor"/>
      </rPr>
      <t xml:space="preserve"> [1]</t>
    </r>
  </si>
  <si>
    <r>
      <t>Cost of Sales</t>
    </r>
    <r>
      <rPr>
        <sz val="14"/>
        <color rgb="FFFF0000"/>
        <rFont val="Calibri"/>
        <family val="2"/>
        <scheme val="minor"/>
      </rPr>
      <t xml:space="preserve"> [2]</t>
    </r>
  </si>
  <si>
    <r>
      <t xml:space="preserve">SG&amp;A </t>
    </r>
    <r>
      <rPr>
        <sz val="14"/>
        <color rgb="FFFF0000"/>
        <rFont val="Calibri"/>
        <family val="2"/>
        <scheme val="minor"/>
      </rPr>
      <t>[3]</t>
    </r>
  </si>
  <si>
    <r>
      <t xml:space="preserve">Start-up </t>
    </r>
    <r>
      <rPr>
        <sz val="14"/>
        <color rgb="FFFF0000"/>
        <rFont val="Calibri"/>
        <family val="2"/>
        <scheme val="minor"/>
      </rPr>
      <t>[4]</t>
    </r>
  </si>
  <si>
    <r>
      <t xml:space="preserve">Adv. projects </t>
    </r>
    <r>
      <rPr>
        <sz val="14"/>
        <color rgb="FFFF0000"/>
        <rFont val="Calibri"/>
        <family val="2"/>
        <scheme val="minor"/>
      </rPr>
      <t>[5]</t>
    </r>
  </si>
  <si>
    <r>
      <t xml:space="preserve">Deferred Revenue </t>
    </r>
    <r>
      <rPr>
        <sz val="14"/>
        <color rgb="FFFF0000"/>
        <rFont val="Calibri"/>
        <family val="2"/>
        <scheme val="minor"/>
      </rPr>
      <t>[7]</t>
    </r>
  </si>
  <si>
    <r>
      <t xml:space="preserve">Accrued Liabilities (operating) </t>
    </r>
    <r>
      <rPr>
        <sz val="14"/>
        <color rgb="FFFF0000"/>
        <rFont val="Calibri"/>
        <family val="2"/>
        <scheme val="minor"/>
      </rPr>
      <t>[8]</t>
    </r>
  </si>
  <si>
    <t>Unlevered Free Cashflow</t>
  </si>
  <si>
    <t>Rev. Growth</t>
  </si>
  <si>
    <t>D&amp;A</t>
  </si>
  <si>
    <t>Op. Profit (EBIT)</t>
  </si>
  <si>
    <t>Capital Expend.</t>
  </si>
  <si>
    <t>Cash from NWC</t>
  </si>
  <si>
    <t>Unlevered FCF</t>
  </si>
  <si>
    <t>MP Materials (MP) Key Metrics Summary</t>
  </si>
  <si>
    <t>Updated: 8 May 2026</t>
  </si>
  <si>
    <t>COMPANY SUMMARY</t>
  </si>
  <si>
    <t>Company</t>
  </si>
  <si>
    <t>Ticker</t>
  </si>
  <si>
    <t>(NYSE: MP)</t>
  </si>
  <si>
    <t>Industry</t>
  </si>
  <si>
    <t>Rare Earth Materials</t>
  </si>
  <si>
    <t>MP Materials Corp.</t>
  </si>
  <si>
    <t>Latest closing share price date</t>
  </si>
  <si>
    <t>Latest fiscal year end date</t>
  </si>
  <si>
    <t>Latest closing share price (USD)</t>
  </si>
  <si>
    <t>31/12/2025</t>
  </si>
  <si>
    <t>Shares outstanding</t>
  </si>
  <si>
    <t>KEY METRICS</t>
  </si>
  <si>
    <t>VALUE</t>
  </si>
  <si>
    <t>Share Price ($/Share)</t>
  </si>
  <si>
    <t>Market Cap ($USD mil)</t>
  </si>
  <si>
    <t>Total debt ( $USD mil)</t>
  </si>
  <si>
    <t>Cash and Equivalents ($USD mil)</t>
  </si>
  <si>
    <t>Enterprise Value ($USD mil)</t>
  </si>
  <si>
    <t>Done by: KOH ZEN YII</t>
  </si>
  <si>
    <t>1. Strategic "10X" Vertical Integration</t>
  </si>
  <si>
    <t>Investment Thesis: MP Materials Corp (NYSE: MP)</t>
  </si>
  <si>
    <t>magnet making, moving away from low-margin ore exports.</t>
  </si>
  <si>
    <r>
      <t>The Texas Edge:</t>
    </r>
    <r>
      <rPr>
        <sz val="10"/>
        <color theme="1"/>
        <rFont val="Calibri"/>
        <family val="2"/>
        <scheme val="minor"/>
      </rPr>
      <t xml:space="preserve"> The </t>
    </r>
    <r>
      <rPr>
        <b/>
        <sz val="10"/>
        <color theme="1"/>
        <rFont val="Calibri"/>
        <family val="2"/>
        <scheme val="minor"/>
      </rPr>
      <t>10X facility</t>
    </r>
    <r>
      <rPr>
        <sz val="10"/>
        <color theme="1"/>
        <rFont val="Calibri"/>
        <family val="2"/>
        <scheme val="minor"/>
      </rPr>
      <t xml:space="preserve"> in Fort Worth provides a massive margin expansion as the company captures the value-add of metallization and </t>
    </r>
  </si>
  <si>
    <r>
      <t>Asset Shift:</t>
    </r>
    <r>
      <rPr>
        <sz val="10"/>
        <color theme="1"/>
        <rFont val="Calibri"/>
        <family val="2"/>
        <scheme val="minor"/>
      </rPr>
      <t xml:space="preserve"> Transitioning from a concentrate miner to a fully integrated magnet manufacturer.</t>
    </r>
  </si>
  <si>
    <t>This advantage was granted to de-risk the massive capital investment required for the 10X facility, protecting the company from Chinese "predatory pricing"</t>
  </si>
  <si>
    <t>market volatility to become a permanent, independent source of magnets for national security and the EV industry.</t>
  </si>
  <si>
    <t>2. The $110/kg Price Floor Protection for NdPr</t>
  </si>
  <si>
    <r>
      <t>The Strategic Revenue Protection Mechanism:</t>
    </r>
    <r>
      <rPr>
        <sz val="10"/>
        <color theme="1"/>
        <rFont val="Calibri"/>
        <family val="2"/>
        <scheme val="minor"/>
      </rPr>
      <t xml:space="preserve"> Long-term offtake agreements and strategic reserve priorities establish a projected floor of </t>
    </r>
    <r>
      <rPr>
        <b/>
        <sz val="10"/>
        <color theme="1"/>
        <rFont val="Calibri"/>
        <family val="2"/>
        <scheme val="minor"/>
      </rPr>
      <t>$110/kg for NdPr</t>
    </r>
    <r>
      <rPr>
        <sz val="10"/>
        <color theme="1"/>
        <rFont val="Calibri"/>
        <family val="2"/>
        <scheme val="minor"/>
      </rPr>
      <t xml:space="preserve">. </t>
    </r>
  </si>
  <si>
    <r>
      <t xml:space="preserve">that historically bankrupts Western competitors. By stabilizing revenue at this level from </t>
    </r>
    <r>
      <rPr>
        <b/>
        <sz val="10"/>
        <color theme="1"/>
        <rFont val="Calibri"/>
        <family val="2"/>
        <scheme val="minor"/>
      </rPr>
      <t>2025 to 2035</t>
    </r>
    <r>
      <rPr>
        <sz val="10"/>
        <color theme="1"/>
        <rFont val="Calibri"/>
        <family val="2"/>
        <scheme val="minor"/>
      </rPr>
      <t xml:space="preserve">, the U.S. ensures that MP Materials can survive </t>
    </r>
  </si>
  <si>
    <t>3. Capital Structure &amp; Earnings Growth</t>
  </si>
  <si>
    <t>equity investment signals that the U.S. government is a long-term partner with a "vested interest" in the company's success.</t>
  </si>
  <si>
    <t>agreements designed to secure a stable domestic supply of rare earth magnets for EVs and national security.</t>
  </si>
  <si>
    <r>
      <t>Targeted EBITDA Floor:</t>
    </r>
    <r>
      <rPr>
        <sz val="11"/>
        <color theme="1"/>
        <rFont val="Calibri"/>
        <family val="2"/>
        <scheme val="minor"/>
      </rPr>
      <t xml:space="preserve"> The new 10X facility is expected to generate around </t>
    </r>
    <r>
      <rPr>
        <b/>
        <sz val="11"/>
        <color theme="1"/>
        <rFont val="Calibri"/>
        <family val="2"/>
        <scheme val="minor"/>
      </rPr>
      <t>$400M in annual EBITDA</t>
    </r>
    <r>
      <rPr>
        <sz val="11"/>
        <color theme="1"/>
        <rFont val="Calibri"/>
        <family val="2"/>
        <scheme val="minor"/>
      </rPr>
      <t xml:space="preserve">, supported by government-backed </t>
    </r>
  </si>
  <si>
    <r>
      <rPr>
        <b/>
        <sz val="10"/>
        <color theme="1"/>
        <rFont val="Calibri"/>
        <family val="2"/>
        <scheme val="minor"/>
      </rPr>
      <t>Strategic Government Equity</t>
    </r>
    <r>
      <rPr>
        <sz val="10"/>
        <color theme="1"/>
        <rFont val="Calibri"/>
        <family val="2"/>
        <scheme val="minor"/>
      </rPr>
      <t xml:space="preserve">: In July 2025, the Department of Defense purchased $400 million in shares, establishing a </t>
    </r>
    <r>
      <rPr>
        <b/>
        <sz val="10"/>
        <color theme="1"/>
        <rFont val="Calibri"/>
        <family val="2"/>
        <scheme val="minor"/>
      </rPr>
      <t>15% ownership stake.</t>
    </r>
    <r>
      <rPr>
        <sz val="10"/>
        <color theme="1"/>
        <rFont val="Calibri"/>
        <family val="2"/>
        <scheme val="minor"/>
      </rPr>
      <t xml:space="preserve"> This direct </t>
    </r>
  </si>
  <si>
    <r>
      <rPr>
        <b/>
        <sz val="11"/>
        <color theme="1"/>
        <rFont val="Calibri"/>
        <family val="2"/>
        <scheme val="minor"/>
      </rPr>
      <t>Financial Advantage</t>
    </r>
    <r>
      <rPr>
        <sz val="11"/>
        <color theme="1"/>
        <rFont val="Calibri"/>
        <family val="2"/>
        <scheme val="minor"/>
      </rPr>
      <t>: The company is supported by $45M in direct government cash grants (DoD &amp; Treasury) and $1.02B in total debt ,</t>
    </r>
  </si>
  <si>
    <t>ensuring a strong liquidity position for the 10x facility expansion.</t>
  </si>
  <si>
    <t>4. Geopolitical Arbitrage (2024/25 Compact)</t>
  </si>
  <si>
    <r>
      <t>The Western Fortress:</t>
    </r>
    <r>
      <rPr>
        <sz val="10"/>
        <color theme="1"/>
        <rFont val="Calibri"/>
        <family val="2"/>
        <scheme val="minor"/>
      </rPr>
      <t xml:space="preserve"> My research highlights MP's role in the </t>
    </r>
    <r>
      <rPr>
        <b/>
        <sz val="10"/>
        <color theme="1"/>
        <rFont val="Calibri"/>
        <family val="2"/>
        <scheme val="minor"/>
      </rPr>
      <t>U.S.-Australia Critical Minerals Compact</t>
    </r>
    <r>
      <rPr>
        <sz val="10"/>
        <color theme="1"/>
        <rFont val="Calibri"/>
        <family val="2"/>
        <scheme val="minor"/>
      </rPr>
      <t>. By pairing Australian separation (Lynas) with U.S.</t>
    </r>
  </si>
  <si>
    <t xml:space="preserve"> magnetics (MP),the partnership keeps the entire process in the U.S. so they don't have to rely on a single overseas source that could be cut off.</t>
  </si>
  <si>
    <r>
      <t>Guaranteed Customers:</t>
    </r>
    <r>
      <rPr>
        <sz val="10"/>
        <color theme="1"/>
        <rFont val="Calibri"/>
        <family val="2"/>
        <scheme val="minor"/>
      </rPr>
      <t xml:space="preserve"> Long-term supply agreements with </t>
    </r>
    <r>
      <rPr>
        <b/>
        <sz val="10"/>
        <color theme="1"/>
        <rFont val="Calibri"/>
        <family val="2"/>
        <scheme val="minor"/>
      </rPr>
      <t>General Motors (GM)</t>
    </r>
    <r>
      <rPr>
        <sz val="10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Calibri"/>
        <family val="2"/>
        <scheme val="minor"/>
      </rPr>
      <t>Apple</t>
    </r>
    <r>
      <rPr>
        <sz val="10"/>
        <color theme="1"/>
        <rFont val="Calibri"/>
        <family val="2"/>
        <scheme val="minor"/>
      </rPr>
      <t xml:space="preserve"> solidify a guaranteed "Western-only" revenue stream.</t>
    </r>
  </si>
  <si>
    <t>Downside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</si>
</sst>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&quot;A&quot;"/>
    <numFmt numFmtId="167" formatCode="0&quot;F&quot;"/>
    <numFmt numFmtId="168" formatCode="_(* #,##0_);_(* \(#,##0\);_(* &quot;-&quot;??_);_(@_)"/>
    <numFmt numFmtId="169" formatCode="0.0"/>
    <numFmt numFmtId="170" formatCode="0.0000"/>
    <numFmt numFmtId="171" formatCode="&quot;$&quot;#,##0.00"/>
    <numFmt numFmtId="172" formatCode="&quot;$&quot;#,##0"/>
    <numFmt numFmtId="173" formatCode="0.000%"/>
    <numFmt numFmtId="174" formatCode="[$-F800]dddd\,\ mmmm\ dd\,\ yyyy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u/>
      <sz val="10"/>
      <color theme="10"/>
      <name val="Arial"/>
      <family val="2"/>
    </font>
    <font>
      <sz val="11"/>
      <color theme="0"/>
      <name val="Calibri"/>
      <family val="2"/>
      <scheme val="minor"/>
    </font>
    <font>
      <b/>
      <sz val="14"/>
      <color rgb="FF3271D2"/>
      <name val="Open Sans"/>
      <family val="2"/>
    </font>
    <font>
      <sz val="14"/>
      <color rgb="FF3271D2"/>
      <name val="Open Sans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4"/>
      <color rgb="FF1F1F1F"/>
      <name val="Calibri"/>
      <family val="2"/>
      <scheme val="minor"/>
    </font>
    <font>
      <b/>
      <sz val="14"/>
      <color rgb="FF1F1F1F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1F1F1F"/>
      <name val="Calibri 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Open Sans"/>
      <family val="2"/>
    </font>
    <font>
      <b/>
      <sz val="14"/>
      <color rgb="FF000000"/>
      <name val="Open Sans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F2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4F81BD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/>
      <right/>
      <top style="thin">
        <color theme="1"/>
      </top>
      <bottom style="medium">
        <color theme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14" borderId="8">
      <alignment horizontal="right"/>
    </xf>
  </cellStyleXfs>
  <cellXfs count="233">
    <xf numFmtId="0" fontId="0" fillId="0" borderId="0" xfId="0"/>
    <xf numFmtId="37" fontId="5" fillId="3" borderId="0" xfId="0" applyNumberFormat="1" applyFont="1" applyFill="1" applyAlignment="1">
      <alignment horizontal="center" vertical="top"/>
    </xf>
    <xf numFmtId="0" fontId="0" fillId="2" borderId="0" xfId="0" applyFill="1"/>
    <xf numFmtId="37" fontId="5" fillId="3" borderId="0" xfId="0" applyNumberFormat="1" applyFont="1" applyFill="1" applyAlignment="1">
      <alignment vertical="top"/>
    </xf>
    <xf numFmtId="37" fontId="6" fillId="3" borderId="0" xfId="0" applyNumberFormat="1" applyFont="1" applyFill="1" applyAlignment="1">
      <alignment vertical="top"/>
    </xf>
    <xf numFmtId="0" fontId="7" fillId="2" borderId="0" xfId="0" applyFont="1" applyFill="1"/>
    <xf numFmtId="0" fontId="7" fillId="0" borderId="0" xfId="0" applyFont="1"/>
    <xf numFmtId="0" fontId="7" fillId="2" borderId="1" xfId="0" applyFont="1" applyFill="1" applyBorder="1"/>
    <xf numFmtId="0" fontId="9" fillId="2" borderId="0" xfId="0" applyFont="1" applyFill="1"/>
    <xf numFmtId="0" fontId="8" fillId="2" borderId="0" xfId="0" applyFont="1" applyFill="1"/>
    <xf numFmtId="9" fontId="7" fillId="2" borderId="0" xfId="0" applyNumberFormat="1" applyFont="1" applyFill="1"/>
    <xf numFmtId="0" fontId="7" fillId="2" borderId="4" xfId="0" applyFont="1" applyFill="1" applyBorder="1"/>
    <xf numFmtId="9" fontId="9" fillId="2" borderId="0" xfId="0" applyNumberFormat="1" applyFont="1" applyFill="1"/>
    <xf numFmtId="0" fontId="7" fillId="2" borderId="6" xfId="0" applyFont="1" applyFill="1" applyBorder="1"/>
    <xf numFmtId="10" fontId="8" fillId="2" borderId="6" xfId="0" applyNumberFormat="1" applyFont="1" applyFill="1" applyBorder="1"/>
    <xf numFmtId="10" fontId="8" fillId="2" borderId="0" xfId="0" applyNumberFormat="1" applyFont="1" applyFill="1"/>
    <xf numFmtId="0" fontId="8" fillId="2" borderId="6" xfId="0" applyFont="1" applyFill="1" applyBorder="1"/>
    <xf numFmtId="10" fontId="8" fillId="0" borderId="6" xfId="0" applyNumberFormat="1" applyFont="1" applyBorder="1"/>
    <xf numFmtId="0" fontId="9" fillId="2" borderId="1" xfId="0" applyFont="1" applyFill="1" applyBorder="1"/>
    <xf numFmtId="2" fontId="8" fillId="4" borderId="0" xfId="0" applyNumberFormat="1" applyFont="1" applyFill="1"/>
    <xf numFmtId="38" fontId="0" fillId="2" borderId="0" xfId="0" applyNumberFormat="1" applyFill="1"/>
    <xf numFmtId="37" fontId="5" fillId="7" borderId="0" xfId="0" applyNumberFormat="1" applyFont="1" applyFill="1" applyAlignment="1">
      <alignment vertical="top"/>
    </xf>
    <xf numFmtId="3" fontId="9" fillId="2" borderId="0" xfId="0" applyNumberFormat="1" applyFont="1" applyFill="1" applyAlignment="1">
      <alignment horizontal="right"/>
    </xf>
    <xf numFmtId="3" fontId="9" fillId="2" borderId="0" xfId="0" applyNumberFormat="1" applyFont="1" applyFill="1"/>
    <xf numFmtId="38" fontId="7" fillId="2" borderId="0" xfId="0" applyNumberFormat="1" applyFont="1" applyFill="1"/>
    <xf numFmtId="0" fontId="0" fillId="2" borderId="11" xfId="0" applyFill="1" applyBorder="1"/>
    <xf numFmtId="0" fontId="0" fillId="9" borderId="11" xfId="0" applyFill="1" applyBorder="1"/>
    <xf numFmtId="0" fontId="0" fillId="9" borderId="10" xfId="0" applyFill="1" applyBorder="1"/>
    <xf numFmtId="0" fontId="0" fillId="9" borderId="4" xfId="0" applyFill="1" applyBorder="1"/>
    <xf numFmtId="0" fontId="0" fillId="9" borderId="17" xfId="0" applyFill="1" applyBorder="1"/>
    <xf numFmtId="0" fontId="7" fillId="0" borderId="3" xfId="0" applyFont="1" applyBorder="1"/>
    <xf numFmtId="10" fontId="7" fillId="0" borderId="3" xfId="0" applyNumberFormat="1" applyFont="1" applyBorder="1"/>
    <xf numFmtId="10" fontId="0" fillId="0" borderId="0" xfId="0" applyNumberFormat="1"/>
    <xf numFmtId="0" fontId="13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wrapText="1"/>
    </xf>
    <xf numFmtId="3" fontId="7" fillId="0" borderId="0" xfId="0" applyNumberFormat="1" applyFont="1"/>
    <xf numFmtId="0" fontId="13" fillId="11" borderId="3" xfId="0" applyFont="1" applyFill="1" applyBorder="1" applyAlignment="1">
      <alignment horizontal="center" vertical="center" wrapText="1" readingOrder="1"/>
    </xf>
    <xf numFmtId="10" fontId="7" fillId="0" borderId="3" xfId="0" applyNumberFormat="1" applyFont="1" applyBorder="1" applyAlignment="1">
      <alignment horizontal="center" vertical="center"/>
    </xf>
    <xf numFmtId="3" fontId="7" fillId="8" borderId="3" xfId="0" applyNumberFormat="1" applyFont="1" applyFill="1" applyBorder="1" applyAlignment="1">
      <alignment horizontal="center" vertical="center" wrapText="1"/>
    </xf>
    <xf numFmtId="41" fontId="7" fillId="8" borderId="3" xfId="0" applyNumberFormat="1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 readingOrder="1"/>
    </xf>
    <xf numFmtId="38" fontId="7" fillId="0" borderId="3" xfId="0" applyNumberFormat="1" applyFont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37" fontId="7" fillId="0" borderId="3" xfId="0" applyNumberFormat="1" applyFont="1" applyBorder="1" applyAlignment="1">
      <alignment horizontal="center" vertical="center"/>
    </xf>
    <xf numFmtId="37" fontId="12" fillId="0" borderId="3" xfId="0" applyNumberFormat="1" applyFont="1" applyBorder="1" applyAlignment="1">
      <alignment horizontal="center" vertical="center" wrapText="1" readingOrder="1"/>
    </xf>
    <xf numFmtId="37" fontId="14" fillId="0" borderId="3" xfId="0" applyNumberFormat="1" applyFont="1" applyBorder="1" applyAlignment="1">
      <alignment horizontal="center" vertical="center"/>
    </xf>
    <xf numFmtId="38" fontId="7" fillId="6" borderId="3" xfId="0" applyNumberFormat="1" applyFont="1" applyFill="1" applyBorder="1" applyAlignment="1">
      <alignment horizontal="center" vertical="center"/>
    </xf>
    <xf numFmtId="38" fontId="14" fillId="6" borderId="3" xfId="0" applyNumberFormat="1" applyFont="1" applyFill="1" applyBorder="1" applyAlignment="1">
      <alignment horizontal="center" vertical="center"/>
    </xf>
    <xf numFmtId="38" fontId="7" fillId="6" borderId="3" xfId="0" applyNumberFormat="1" applyFont="1" applyFill="1" applyBorder="1" applyAlignment="1">
      <alignment horizontal="center" vertical="center" wrapText="1"/>
    </xf>
    <xf numFmtId="38" fontId="12" fillId="11" borderId="3" xfId="0" applyNumberFormat="1" applyFont="1" applyFill="1" applyBorder="1" applyAlignment="1">
      <alignment horizontal="center" vertical="center" wrapText="1" readingOrder="1"/>
    </xf>
    <xf numFmtId="38" fontId="7" fillId="11" borderId="3" xfId="0" applyNumberFormat="1" applyFont="1" applyFill="1" applyBorder="1" applyAlignment="1">
      <alignment horizontal="center" vertical="center"/>
    </xf>
    <xf numFmtId="3" fontId="7" fillId="2" borderId="0" xfId="0" applyNumberFormat="1" applyFont="1" applyFill="1"/>
    <xf numFmtId="38" fontId="9" fillId="2" borderId="0" xfId="0" applyNumberFormat="1" applyFont="1" applyFill="1"/>
    <xf numFmtId="37" fontId="9" fillId="2" borderId="1" xfId="0" applyNumberFormat="1" applyFont="1" applyFill="1" applyBorder="1"/>
    <xf numFmtId="170" fontId="8" fillId="2" borderId="0" xfId="0" applyNumberFormat="1" applyFont="1" applyFill="1"/>
    <xf numFmtId="38" fontId="8" fillId="2" borderId="4" xfId="0" applyNumberFormat="1" applyFont="1" applyFill="1" applyBorder="1"/>
    <xf numFmtId="3" fontId="8" fillId="2" borderId="0" xfId="0" applyNumberFormat="1" applyFont="1" applyFill="1"/>
    <xf numFmtId="0" fontId="12" fillId="2" borderId="0" xfId="0" applyFont="1" applyFill="1" applyAlignment="1">
      <alignment horizontal="center" vertical="center" wrapText="1" readingOrder="1"/>
    </xf>
    <xf numFmtId="38" fontId="8" fillId="2" borderId="0" xfId="0" applyNumberFormat="1" applyFont="1" applyFill="1"/>
    <xf numFmtId="0" fontId="18" fillId="9" borderId="7" xfId="0" applyFont="1" applyFill="1" applyBorder="1" applyAlignment="1">
      <alignment horizontal="left" vertical="center" wrapText="1" readingOrder="1"/>
    </xf>
    <xf numFmtId="0" fontId="18" fillId="9" borderId="7" xfId="0" applyFont="1" applyFill="1" applyBorder="1" applyAlignment="1">
      <alignment vertical="center" wrapText="1" readingOrder="1"/>
    </xf>
    <xf numFmtId="3" fontId="18" fillId="9" borderId="7" xfId="0" applyNumberFormat="1" applyFont="1" applyFill="1" applyBorder="1" applyAlignment="1">
      <alignment horizontal="left" vertical="center" wrapText="1" readingOrder="1"/>
    </xf>
    <xf numFmtId="3" fontId="18" fillId="9" borderId="7" xfId="0" applyNumberFormat="1" applyFont="1" applyFill="1" applyBorder="1" applyAlignment="1">
      <alignment vertical="center" wrapText="1" readingOrder="1"/>
    </xf>
    <xf numFmtId="0" fontId="0" fillId="9" borderId="12" xfId="0" applyFill="1" applyBorder="1"/>
    <xf numFmtId="0" fontId="0" fillId="2" borderId="6" xfId="0" applyFill="1" applyBorder="1"/>
    <xf numFmtId="0" fontId="0" fillId="9" borderId="3" xfId="0" applyFill="1" applyBorder="1" applyAlignment="1">
      <alignment wrapText="1"/>
    </xf>
    <xf numFmtId="3" fontId="0" fillId="9" borderId="3" xfId="0" applyNumberFormat="1" applyFill="1" applyBorder="1" applyAlignment="1">
      <alignment wrapText="1"/>
    </xf>
    <xf numFmtId="0" fontId="10" fillId="9" borderId="16" xfId="0" applyFont="1" applyFill="1" applyBorder="1"/>
    <xf numFmtId="0" fontId="0" fillId="9" borderId="13" xfId="0" applyFill="1" applyBorder="1"/>
    <xf numFmtId="0" fontId="0" fillId="9" borderId="6" xfId="0" applyFill="1" applyBorder="1"/>
    <xf numFmtId="0" fontId="0" fillId="9" borderId="14" xfId="0" applyFill="1" applyBorder="1"/>
    <xf numFmtId="0" fontId="0" fillId="9" borderId="0" xfId="0" applyFill="1"/>
    <xf numFmtId="0" fontId="0" fillId="9" borderId="15" xfId="0" applyFill="1" applyBorder="1"/>
    <xf numFmtId="0" fontId="0" fillId="9" borderId="1" xfId="0" applyFill="1" applyBorder="1"/>
    <xf numFmtId="0" fontId="11" fillId="9" borderId="7" xfId="0" applyFont="1" applyFill="1" applyBorder="1" applyAlignment="1">
      <alignment horizontal="left" vertical="center" wrapText="1" indent="1" readingOrder="1"/>
    </xf>
    <xf numFmtId="10" fontId="11" fillId="9" borderId="7" xfId="0" applyNumberFormat="1" applyFont="1" applyFill="1" applyBorder="1" applyAlignment="1">
      <alignment horizontal="left" vertical="center" wrapText="1" indent="1" readingOrder="1"/>
    </xf>
    <xf numFmtId="0" fontId="11" fillId="9" borderId="18" xfId="0" applyFont="1" applyFill="1" applyBorder="1" applyAlignment="1">
      <alignment horizontal="left" vertical="center" wrapText="1" indent="1" readingOrder="1"/>
    </xf>
    <xf numFmtId="10" fontId="11" fillId="9" borderId="18" xfId="0" applyNumberFormat="1" applyFont="1" applyFill="1" applyBorder="1" applyAlignment="1">
      <alignment horizontal="left" vertical="center" wrapText="1" indent="1" readingOrder="1"/>
    </xf>
    <xf numFmtId="0" fontId="21" fillId="9" borderId="7" xfId="0" applyFont="1" applyFill="1" applyBorder="1" applyAlignment="1">
      <alignment horizontal="left" vertical="center" wrapText="1" indent="1" readingOrder="1"/>
    </xf>
    <xf numFmtId="0" fontId="21" fillId="9" borderId="7" xfId="0" applyFont="1" applyFill="1" applyBorder="1" applyAlignment="1">
      <alignment vertical="center" wrapText="1" readingOrder="1"/>
    </xf>
    <xf numFmtId="0" fontId="11" fillId="9" borderId="7" xfId="0" applyFont="1" applyFill="1" applyBorder="1" applyAlignment="1">
      <alignment vertical="center" wrapText="1" readingOrder="1"/>
    </xf>
    <xf numFmtId="0" fontId="21" fillId="0" borderId="0" xfId="0" applyFont="1" applyAlignment="1">
      <alignment horizontal="left" vertical="center" wrapText="1" indent="1" readingOrder="1"/>
    </xf>
    <xf numFmtId="0" fontId="11" fillId="0" borderId="0" xfId="0" applyFont="1" applyAlignment="1">
      <alignment vertical="center" wrapText="1" readingOrder="1"/>
    </xf>
    <xf numFmtId="0" fontId="8" fillId="11" borderId="3" xfId="0" applyFont="1" applyFill="1" applyBorder="1" applyAlignment="1">
      <alignment wrapText="1"/>
    </xf>
    <xf numFmtId="38" fontId="7" fillId="11" borderId="3" xfId="0" applyNumberFormat="1" applyFont="1" applyFill="1" applyBorder="1" applyAlignment="1">
      <alignment horizontal="center"/>
    </xf>
    <xf numFmtId="0" fontId="8" fillId="11" borderId="5" xfId="0" applyFont="1" applyFill="1" applyBorder="1" applyAlignment="1">
      <alignment wrapText="1"/>
    </xf>
    <xf numFmtId="38" fontId="7" fillId="11" borderId="5" xfId="0" applyNumberFormat="1" applyFont="1" applyFill="1" applyBorder="1" applyAlignment="1">
      <alignment horizontal="center"/>
    </xf>
    <xf numFmtId="0" fontId="8" fillId="11" borderId="3" xfId="0" applyFont="1" applyFill="1" applyBorder="1"/>
    <xf numFmtId="0" fontId="7" fillId="8" borderId="3" xfId="0" applyFont="1" applyFill="1" applyBorder="1" applyAlignment="1">
      <alignment horizontal="center" wrapText="1"/>
    </xf>
    <xf numFmtId="41" fontId="7" fillId="8" borderId="3" xfId="0" applyNumberFormat="1" applyFont="1" applyFill="1" applyBorder="1" applyAlignment="1">
      <alignment horizontal="center" wrapText="1"/>
    </xf>
    <xf numFmtId="0" fontId="15" fillId="0" borderId="0" xfId="0" applyFont="1"/>
    <xf numFmtId="10" fontId="7" fillId="0" borderId="0" xfId="0" applyNumberFormat="1" applyFont="1"/>
    <xf numFmtId="38" fontId="7" fillId="6" borderId="0" xfId="0" applyNumberFormat="1" applyFont="1" applyFill="1"/>
    <xf numFmtId="169" fontId="0" fillId="2" borderId="0" xfId="0" applyNumberFormat="1" applyFill="1"/>
    <xf numFmtId="0" fontId="10" fillId="2" borderId="0" xfId="0" applyFont="1" applyFill="1" applyAlignment="1">
      <alignment horizontal="left" vertical="center" indent="1"/>
    </xf>
    <xf numFmtId="0" fontId="0" fillId="9" borderId="3" xfId="0" applyFill="1" applyBorder="1"/>
    <xf numFmtId="169" fontId="0" fillId="9" borderId="0" xfId="0" applyNumberFormat="1" applyFill="1"/>
    <xf numFmtId="169" fontId="0" fillId="9" borderId="11" xfId="0" applyNumberFormat="1" applyFill="1" applyBorder="1"/>
    <xf numFmtId="10" fontId="0" fillId="9" borderId="0" xfId="0" applyNumberFormat="1" applyFill="1"/>
    <xf numFmtId="0" fontId="10" fillId="9" borderId="14" xfId="0" applyFont="1" applyFill="1" applyBorder="1" applyAlignment="1">
      <alignment vertical="center"/>
    </xf>
    <xf numFmtId="0" fontId="0" fillId="9" borderId="15" xfId="0" applyFill="1" applyBorder="1" applyAlignment="1">
      <alignment horizontal="left" vertical="center"/>
    </xf>
    <xf numFmtId="9" fontId="0" fillId="9" borderId="3" xfId="0" applyNumberFormat="1" applyFill="1" applyBorder="1"/>
    <xf numFmtId="0" fontId="0" fillId="2" borderId="14" xfId="0" applyFill="1" applyBorder="1"/>
    <xf numFmtId="0" fontId="10" fillId="9" borderId="16" xfId="0" applyFont="1" applyFill="1" applyBorder="1" applyAlignment="1">
      <alignment vertical="center"/>
    </xf>
    <xf numFmtId="0" fontId="8" fillId="2" borderId="3" xfId="0" applyFont="1" applyFill="1" applyBorder="1"/>
    <xf numFmtId="0" fontId="8" fillId="2" borderId="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7" fillId="2" borderId="9" xfId="0" applyFont="1" applyFill="1" applyBorder="1"/>
    <xf numFmtId="168" fontId="7" fillId="2" borderId="0" xfId="0" applyNumberFormat="1" applyFont="1" applyFill="1"/>
    <xf numFmtId="3" fontId="12" fillId="0" borderId="0" xfId="0" applyNumberFormat="1" applyFont="1" applyAlignment="1">
      <alignment vertical="center" wrapText="1" readingOrder="1"/>
    </xf>
    <xf numFmtId="3" fontId="12" fillId="0" borderId="11" xfId="0" applyNumberFormat="1" applyFont="1" applyBorder="1" applyAlignment="1">
      <alignment vertical="center" wrapText="1" readingOrder="1"/>
    </xf>
    <xf numFmtId="43" fontId="7" fillId="2" borderId="0" xfId="0" applyNumberFormat="1" applyFont="1" applyFill="1" applyAlignment="1">
      <alignment horizontal="center"/>
    </xf>
    <xf numFmtId="43" fontId="7" fillId="2" borderId="0" xfId="0" applyNumberFormat="1" applyFont="1" applyFill="1"/>
    <xf numFmtId="43" fontId="7" fillId="2" borderId="11" xfId="0" applyNumberFormat="1" applyFont="1" applyFill="1" applyBorder="1"/>
    <xf numFmtId="0" fontId="7" fillId="6" borderId="8" xfId="0" applyFont="1" applyFill="1" applyBorder="1"/>
    <xf numFmtId="38" fontId="7" fillId="6" borderId="1" xfId="0" applyNumberFormat="1" applyFont="1" applyFill="1" applyBorder="1" applyAlignment="1">
      <alignment horizontal="center"/>
    </xf>
    <xf numFmtId="38" fontId="7" fillId="6" borderId="11" xfId="0" applyNumberFormat="1" applyFont="1" applyFill="1" applyBorder="1"/>
    <xf numFmtId="0" fontId="7" fillId="12" borderId="3" xfId="0" applyFont="1" applyFill="1" applyBorder="1"/>
    <xf numFmtId="10" fontId="7" fillId="2" borderId="0" xfId="0" applyNumberFormat="1" applyFont="1" applyFill="1"/>
    <xf numFmtId="10" fontId="7" fillId="2" borderId="11" xfId="0" applyNumberFormat="1" applyFont="1" applyFill="1" applyBorder="1"/>
    <xf numFmtId="0" fontId="7" fillId="6" borderId="9" xfId="0" applyFont="1" applyFill="1" applyBorder="1"/>
    <xf numFmtId="0" fontId="7" fillId="0" borderId="9" xfId="0" applyFont="1" applyBorder="1"/>
    <xf numFmtId="9" fontId="7" fillId="0" borderId="0" xfId="0" applyNumberFormat="1" applyFont="1"/>
    <xf numFmtId="9" fontId="7" fillId="0" borderId="11" xfId="0" applyNumberFormat="1" applyFont="1" applyBorder="1"/>
    <xf numFmtId="10" fontId="7" fillId="0" borderId="11" xfId="0" applyNumberFormat="1" applyFont="1" applyBorder="1"/>
    <xf numFmtId="0" fontId="7" fillId="10" borderId="8" xfId="0" applyFont="1" applyFill="1" applyBorder="1"/>
    <xf numFmtId="168" fontId="7" fillId="10" borderId="1" xfId="0" applyNumberFormat="1" applyFont="1" applyFill="1" applyBorder="1"/>
    <xf numFmtId="168" fontId="7" fillId="10" borderId="10" xfId="0" applyNumberFormat="1" applyFont="1" applyFill="1" applyBorder="1"/>
    <xf numFmtId="10" fontId="7" fillId="10" borderId="1" xfId="0" applyNumberFormat="1" applyFont="1" applyFill="1" applyBorder="1"/>
    <xf numFmtId="10" fontId="7" fillId="10" borderId="10" xfId="0" applyNumberFormat="1" applyFont="1" applyFill="1" applyBorder="1"/>
    <xf numFmtId="38" fontId="7" fillId="0" borderId="3" xfId="0" applyNumberFormat="1" applyFont="1" applyBorder="1"/>
    <xf numFmtId="38" fontId="7" fillId="6" borderId="3" xfId="0" applyNumberFormat="1" applyFont="1" applyFill="1" applyBorder="1"/>
    <xf numFmtId="10" fontId="7" fillId="0" borderId="3" xfId="0" applyNumberFormat="1" applyFont="1" applyBorder="1" applyAlignment="1">
      <alignment wrapText="1"/>
    </xf>
    <xf numFmtId="38" fontId="7" fillId="0" borderId="3" xfId="0" applyNumberFormat="1" applyFont="1" applyBorder="1" applyAlignment="1">
      <alignment wrapText="1"/>
    </xf>
    <xf numFmtId="10" fontId="7" fillId="6" borderId="3" xfId="0" applyNumberFormat="1" applyFont="1" applyFill="1" applyBorder="1"/>
    <xf numFmtId="38" fontId="7" fillId="12" borderId="3" xfId="0" applyNumberFormat="1" applyFont="1" applyFill="1" applyBorder="1"/>
    <xf numFmtId="0" fontId="7" fillId="0" borderId="8" xfId="0" applyFont="1" applyBorder="1"/>
    <xf numFmtId="10" fontId="7" fillId="0" borderId="8" xfId="0" applyNumberFormat="1" applyFont="1" applyBorder="1"/>
    <xf numFmtId="38" fontId="7" fillId="0" borderId="8" xfId="0" applyNumberFormat="1" applyFont="1" applyBorder="1"/>
    <xf numFmtId="0" fontId="8" fillId="6" borderId="3" xfId="0" applyFont="1" applyFill="1" applyBorder="1"/>
    <xf numFmtId="0" fontId="8" fillId="12" borderId="3" xfId="0" applyFont="1" applyFill="1" applyBorder="1"/>
    <xf numFmtId="38" fontId="7" fillId="6" borderId="15" xfId="0" applyNumberFormat="1" applyFont="1" applyFill="1" applyBorder="1" applyAlignment="1">
      <alignment horizontal="center"/>
    </xf>
    <xf numFmtId="38" fontId="7" fillId="6" borderId="1" xfId="0" applyNumberFormat="1" applyFont="1" applyFill="1" applyBorder="1"/>
    <xf numFmtId="38" fontId="7" fillId="6" borderId="10" xfId="0" applyNumberFormat="1" applyFont="1" applyFill="1" applyBorder="1"/>
    <xf numFmtId="38" fontId="7" fillId="12" borderId="16" xfId="0" applyNumberFormat="1" applyFont="1" applyFill="1" applyBorder="1"/>
    <xf numFmtId="38" fontId="7" fillId="12" borderId="4" xfId="0" applyNumberFormat="1" applyFont="1" applyFill="1" applyBorder="1"/>
    <xf numFmtId="38" fontId="7" fillId="12" borderId="17" xfId="0" applyNumberFormat="1" applyFont="1" applyFill="1" applyBorder="1"/>
    <xf numFmtId="166" fontId="2" fillId="2" borderId="0" xfId="0" applyNumberFormat="1" applyFont="1" applyFill="1" applyAlignment="1">
      <alignment horizontal="right"/>
    </xf>
    <xf numFmtId="37" fontId="8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8" fontId="8" fillId="2" borderId="0" xfId="0" applyNumberFormat="1" applyFont="1" applyFill="1" applyAlignment="1">
      <alignment horizontal="right"/>
    </xf>
    <xf numFmtId="3" fontId="8" fillId="2" borderId="1" xfId="0" applyNumberFormat="1" applyFont="1" applyFill="1" applyBorder="1" applyAlignment="1">
      <alignment horizontal="right"/>
    </xf>
    <xf numFmtId="10" fontId="9" fillId="2" borderId="6" xfId="0" applyNumberFormat="1" applyFont="1" applyFill="1" applyBorder="1"/>
    <xf numFmtId="166" fontId="23" fillId="2" borderId="24" xfId="0" applyNumberFormat="1" applyFont="1" applyFill="1" applyBorder="1" applyAlignment="1">
      <alignment horizontal="right" vertical="center"/>
    </xf>
    <xf numFmtId="167" fontId="24" fillId="2" borderId="2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38" fontId="7" fillId="2" borderId="0" xfId="0" applyNumberFormat="1" applyFont="1" applyFill="1" applyAlignment="1">
      <alignment wrapText="1"/>
    </xf>
    <xf numFmtId="38" fontId="7" fillId="2" borderId="25" xfId="0" applyNumberFormat="1" applyFont="1" applyFill="1" applyBorder="1"/>
    <xf numFmtId="38" fontId="8" fillId="2" borderId="25" xfId="0" applyNumberFormat="1" applyFont="1" applyFill="1" applyBorder="1"/>
    <xf numFmtId="165" fontId="7" fillId="2" borderId="0" xfId="0" applyNumberFormat="1" applyFont="1" applyFill="1"/>
    <xf numFmtId="38" fontId="0" fillId="0" borderId="0" xfId="0" applyNumberFormat="1"/>
    <xf numFmtId="37" fontId="5" fillId="7" borderId="0" xfId="0" applyNumberFormat="1" applyFont="1" applyFill="1" applyAlignment="1">
      <alignment horizontal="center" vertical="top"/>
    </xf>
    <xf numFmtId="37" fontId="25" fillId="7" borderId="0" xfId="0" applyNumberFormat="1" applyFont="1" applyFill="1" applyAlignment="1">
      <alignment horizontal="left" vertical="top"/>
    </xf>
    <xf numFmtId="0" fontId="27" fillId="13" borderId="0" xfId="0" applyFont="1" applyFill="1"/>
    <xf numFmtId="0" fontId="10" fillId="2" borderId="0" xfId="0" applyFont="1" applyFill="1"/>
    <xf numFmtId="0" fontId="28" fillId="2" borderId="0" xfId="0" applyFont="1" applyFill="1"/>
    <xf numFmtId="0" fontId="26" fillId="2" borderId="0" xfId="0" applyFont="1" applyFill="1"/>
    <xf numFmtId="0" fontId="10" fillId="0" borderId="0" xfId="0" applyFont="1"/>
    <xf numFmtId="0" fontId="10" fillId="2" borderId="0" xfId="0" applyFont="1" applyFill="1" applyAlignment="1">
      <alignment horizontal="right"/>
    </xf>
    <xf numFmtId="0" fontId="10" fillId="2" borderId="1" xfId="0" applyFont="1" applyFill="1" applyBorder="1"/>
    <xf numFmtId="0" fontId="0" fillId="13" borderId="0" xfId="0" applyFill="1"/>
    <xf numFmtId="0" fontId="0" fillId="2" borderId="1" xfId="0" applyFill="1" applyBorder="1"/>
    <xf numFmtId="0" fontId="4" fillId="13" borderId="1" xfId="0" applyFont="1" applyFill="1" applyBorder="1"/>
    <xf numFmtId="0" fontId="28" fillId="2" borderId="0" xfId="0" applyFont="1" applyFill="1" applyAlignment="1">
      <alignment vertical="center"/>
    </xf>
    <xf numFmtId="2" fontId="28" fillId="2" borderId="0" xfId="0" applyNumberFormat="1" applyFont="1" applyFill="1" applyAlignment="1">
      <alignment horizontal="center" vertical="center"/>
    </xf>
    <xf numFmtId="0" fontId="27" fillId="13" borderId="0" xfId="0" applyFont="1" applyFill="1" applyAlignment="1">
      <alignment horizontal="center"/>
    </xf>
    <xf numFmtId="0" fontId="28" fillId="2" borderId="6" xfId="0" applyFont="1" applyFill="1" applyBorder="1" applyAlignment="1">
      <alignment vertical="center"/>
    </xf>
    <xf numFmtId="0" fontId="10" fillId="2" borderId="6" xfId="0" applyFont="1" applyFill="1" applyBorder="1"/>
    <xf numFmtId="171" fontId="28" fillId="2" borderId="12" xfId="0" applyNumberFormat="1" applyFont="1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/>
    </xf>
    <xf numFmtId="172" fontId="28" fillId="2" borderId="11" xfId="0" applyNumberFormat="1" applyFont="1" applyFill="1" applyBorder="1" applyAlignment="1">
      <alignment horizontal="center" vertical="center"/>
    </xf>
    <xf numFmtId="172" fontId="28" fillId="2" borderId="11" xfId="5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/>
    </xf>
    <xf numFmtId="172" fontId="28" fillId="2" borderId="10" xfId="1" applyNumberFormat="1" applyFont="1" applyFill="1" applyBorder="1" applyAlignment="1">
      <alignment horizontal="center" vertical="center"/>
    </xf>
    <xf numFmtId="0" fontId="27" fillId="13" borderId="4" xfId="0" applyFont="1" applyFill="1" applyBorder="1" applyAlignment="1">
      <alignment horizontal="center" vertical="center"/>
    </xf>
    <xf numFmtId="173" fontId="27" fillId="13" borderId="4" xfId="1" applyNumberFormat="1" applyFont="1" applyFill="1" applyBorder="1" applyAlignment="1">
      <alignment vertical="center"/>
    </xf>
    <xf numFmtId="0" fontId="32" fillId="2" borderId="0" xfId="0" applyFont="1" applyFill="1"/>
    <xf numFmtId="0" fontId="31" fillId="2" borderId="0" xfId="0" applyFont="1" applyFill="1" applyAlignment="1">
      <alignment horizontal="left" vertical="center"/>
    </xf>
    <xf numFmtId="0" fontId="31" fillId="2" borderId="14" xfId="0" applyFont="1" applyFill="1" applyBorder="1" applyAlignment="1">
      <alignment vertical="center"/>
    </xf>
    <xf numFmtId="0" fontId="31" fillId="2" borderId="14" xfId="0" applyFont="1" applyFill="1" applyBorder="1" applyAlignment="1">
      <alignment horizontal="left" vertical="center"/>
    </xf>
    <xf numFmtId="0" fontId="32" fillId="2" borderId="14" xfId="0" applyFont="1" applyFill="1" applyBorder="1"/>
    <xf numFmtId="0" fontId="31" fillId="2" borderId="14" xfId="0" applyFont="1" applyFill="1" applyBorder="1"/>
    <xf numFmtId="0" fontId="32" fillId="2" borderId="14" xfId="0" applyFont="1" applyFill="1" applyBorder="1" applyAlignment="1">
      <alignment horizontal="left"/>
    </xf>
    <xf numFmtId="0" fontId="10" fillId="0" borderId="14" xfId="0" applyFont="1" applyBorder="1"/>
    <xf numFmtId="0" fontId="0" fillId="2" borderId="14" xfId="0" applyFill="1" applyBorder="1" applyAlignment="1">
      <alignment horizontal="left"/>
    </xf>
    <xf numFmtId="0" fontId="31" fillId="2" borderId="15" xfId="0" applyFont="1" applyFill="1" applyBorder="1" applyAlignment="1">
      <alignment horizontal="left" vertical="center"/>
    </xf>
    <xf numFmtId="0" fontId="32" fillId="2" borderId="1" xfId="0" applyFont="1" applyFill="1" applyBorder="1"/>
    <xf numFmtId="0" fontId="0" fillId="2" borderId="10" xfId="0" applyFill="1" applyBorder="1"/>
    <xf numFmtId="9" fontId="28" fillId="2" borderId="11" xfId="1" applyFont="1" applyFill="1" applyBorder="1" applyAlignment="1">
      <alignment horizontal="center" vertical="center"/>
    </xf>
    <xf numFmtId="8" fontId="10" fillId="2" borderId="11" xfId="0" applyNumberFormat="1" applyFont="1" applyFill="1" applyBorder="1" applyAlignment="1">
      <alignment horizontal="center"/>
    </xf>
    <xf numFmtId="14" fontId="10" fillId="2" borderId="11" xfId="0" applyNumberFormat="1" applyFont="1" applyFill="1" applyBorder="1" applyAlignment="1">
      <alignment horizontal="center"/>
    </xf>
    <xf numFmtId="174" fontId="10" fillId="2" borderId="11" xfId="0" applyNumberFormat="1" applyFont="1" applyFill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37" fontId="5" fillId="3" borderId="0" xfId="0" applyNumberFormat="1" applyFont="1" applyFill="1" applyAlignment="1">
      <alignment horizontal="center" vertical="top"/>
    </xf>
    <xf numFmtId="0" fontId="10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27" fillId="13" borderId="0" xfId="0" applyFont="1" applyFill="1" applyAlignment="1">
      <alignment horizontal="center"/>
    </xf>
    <xf numFmtId="0" fontId="27" fillId="13" borderId="11" xfId="0" applyFont="1" applyFill="1" applyBorder="1" applyAlignment="1">
      <alignment horizontal="center"/>
    </xf>
    <xf numFmtId="0" fontId="27" fillId="13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10" fontId="11" fillId="9" borderId="21" xfId="0" applyNumberFormat="1" applyFont="1" applyFill="1" applyBorder="1" applyAlignment="1">
      <alignment horizontal="center" vertical="center" wrapText="1" readingOrder="1"/>
    </xf>
    <xf numFmtId="10" fontId="11" fillId="9" borderId="22" xfId="0" applyNumberFormat="1" applyFont="1" applyFill="1" applyBorder="1" applyAlignment="1">
      <alignment horizontal="center" vertical="center" wrapText="1" readingOrder="1"/>
    </xf>
    <xf numFmtId="0" fontId="11" fillId="9" borderId="19" xfId="0" applyFont="1" applyFill="1" applyBorder="1" applyAlignment="1">
      <alignment horizontal="center" vertical="center" wrapText="1" readingOrder="1"/>
    </xf>
    <xf numFmtId="0" fontId="11" fillId="9" borderId="20" xfId="0" applyFont="1" applyFill="1" applyBorder="1" applyAlignment="1">
      <alignment horizontal="center" vertical="center" wrapText="1" readingOrder="1"/>
    </xf>
    <xf numFmtId="0" fontId="10" fillId="9" borderId="23" xfId="0" applyFont="1" applyFill="1" applyBorder="1" applyAlignment="1">
      <alignment horizontal="left"/>
    </xf>
    <xf numFmtId="10" fontId="11" fillId="9" borderId="19" xfId="0" applyNumberFormat="1" applyFont="1" applyFill="1" applyBorder="1" applyAlignment="1">
      <alignment horizontal="center" vertical="center" wrapText="1" readingOrder="1"/>
    </xf>
    <xf numFmtId="10" fontId="11" fillId="9" borderId="20" xfId="0" applyNumberFormat="1" applyFont="1" applyFill="1" applyBorder="1" applyAlignment="1">
      <alignment horizontal="center" vertical="center" wrapText="1" readingOrder="1"/>
    </xf>
    <xf numFmtId="0" fontId="0" fillId="9" borderId="16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</cellXfs>
  <cellStyles count="8">
    <cellStyle name="Comma 2" xfId="4" xr:uid="{98AD16E1-D815-4B98-A053-81B1EFCB6AED}"/>
    <cellStyle name="Currency" xfId="5" builtinId="4"/>
    <cellStyle name="fa_column_header_bottom" xfId="7" xr:uid="{3C4B2761-3512-4505-84D3-7A8822A5BC3F}"/>
    <cellStyle name="Hyperlink 2" xfId="6" xr:uid="{40749BDF-20C2-42AB-89B2-76E2EAAD9398}"/>
    <cellStyle name="Hyperlink 2 2" xfId="3" xr:uid="{5DA65548-D6A1-44EA-8A8F-F3BDE736D712}"/>
    <cellStyle name="Normal" xfId="0" builtinId="0"/>
    <cellStyle name="Normal 2 2 2" xfId="2" xr:uid="{365E42B9-6B98-483D-BD6D-B9955F4F0140}"/>
    <cellStyle name="Per cent" xfId="1" builtinId="5"/>
  </cellStyles>
  <dxfs count="0"/>
  <tableStyles count="1" defaultTableStyle="TableStyleMedium2" defaultPivotStyle="PivotStyleLight16">
    <tableStyle name="Invisible" pivot="0" table="0" count="0" xr9:uid="{9B7CB871-CFC4-4E5A-A52D-6C7A37DE7B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38</xdr:row>
      <xdr:rowOff>0</xdr:rowOff>
    </xdr:from>
    <xdr:to>
      <xdr:col>5</xdr:col>
      <xdr:colOff>304800</xdr:colOff>
      <xdr:row>39</xdr:row>
      <xdr:rowOff>167640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5A88348-6B2F-48D4-9862-521EAE32053D}"/>
            </a:ext>
          </a:extLst>
        </xdr:cNvPr>
        <xdr:cNvSpPr>
          <a:spLocks noChangeAspect="1" noChangeArrowheads="1"/>
        </xdr:cNvSpPr>
      </xdr:nvSpPr>
      <xdr:spPr bwMode="auto">
        <a:xfrm>
          <a:off x="4381500" y="4930140"/>
          <a:ext cx="30480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546847</xdr:colOff>
      <xdr:row>39</xdr:row>
      <xdr:rowOff>80682</xdr:rowOff>
    </xdr:from>
    <xdr:to>
      <xdr:col>4</xdr:col>
      <xdr:colOff>68579</xdr:colOff>
      <xdr:row>41</xdr:row>
      <xdr:rowOff>69027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EECD4A3-221C-4AB3-B0E0-C00DFD5E4480}"/>
            </a:ext>
          </a:extLst>
        </xdr:cNvPr>
        <xdr:cNvSpPr>
          <a:spLocks noChangeAspect="1" noChangeArrowheads="1"/>
        </xdr:cNvSpPr>
      </xdr:nvSpPr>
      <xdr:spPr bwMode="auto">
        <a:xfrm>
          <a:off x="3221467" y="5239422"/>
          <a:ext cx="305696" cy="354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26</xdr:row>
      <xdr:rowOff>76200</xdr:rowOff>
    </xdr:from>
    <xdr:to>
      <xdr:col>16</xdr:col>
      <xdr:colOff>401683</xdr:colOff>
      <xdr:row>35</xdr:row>
      <xdr:rowOff>138269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BF4E0B-56F6-469D-AA5E-099BA5E3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8086" y="5257800"/>
          <a:ext cx="6421483" cy="18037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en yii koh" id="{F1196722-A57B-44FE-8E13-9EE430607DB9}" userId="f9d516237a859ac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4" dT="2026-05-10T08:47:38.16" personId="{F1196722-A57B-44FE-8E13-9EE430607DB9}" id="{0A88C0D0-5A72-446E-AB1E-D3FC800B3317}">
    <text xml:space="preserve">Average rare earth industry return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9" dT="2026-05-06T10:48:55.90" personId="{F1196722-A57B-44FE-8E13-9EE430607DB9}" id="{3D7EAF2A-7C39-4BE1-ACB3-C9CE47B56C5F}">
    <text>* 2025 revenue = total revenue + PPA income
* Assuming after 2026, there would be no more rare earth concentrate sold since it will be internally used for magnet production</text>
  </threadedComment>
  <threadedComment ref="A19" dT="2026-05-06T10:49:22.62" personId="{F1196722-A57B-44FE-8E13-9EE430607DB9}" id="{3F06E8F1-EBFE-4909-84CD-010010C25A1F}">
    <text>* Assume that operating expense increase by 3% per year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EB4E-F427-4D23-9907-095EE6032534}">
  <dimension ref="A1:S29"/>
  <sheetViews>
    <sheetView zoomScaleNormal="100" workbookViewId="0">
      <selection activeCell="A23" sqref="A23"/>
    </sheetView>
  </sheetViews>
  <sheetFormatPr defaultRowHeight="14.4"/>
  <cols>
    <col min="1" max="1" width="32" style="2" bestFit="1" customWidth="1"/>
    <col min="2" max="2" width="8.88671875" style="2"/>
    <col min="3" max="3" width="11.21875" style="2" customWidth="1"/>
    <col min="4" max="4" width="19.21875" style="2" bestFit="1" customWidth="1"/>
    <col min="5" max="5" width="4.6640625" style="2" customWidth="1"/>
    <col min="6" max="6" width="6.6640625" style="2" bestFit="1" customWidth="1"/>
    <col min="7" max="16384" width="8.88671875" style="2"/>
  </cols>
  <sheetData>
    <row r="1" spans="1:19" ht="18">
      <c r="A1" s="218" t="s">
        <v>207</v>
      </c>
      <c r="B1" s="218"/>
      <c r="C1" s="218"/>
      <c r="D1" s="218"/>
      <c r="F1" s="216" t="s">
        <v>230</v>
      </c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7"/>
    </row>
    <row r="2" spans="1:19">
      <c r="A2" s="169" t="s">
        <v>228</v>
      </c>
      <c r="D2" s="2" t="s">
        <v>208</v>
      </c>
      <c r="F2" s="193" t="s">
        <v>229</v>
      </c>
      <c r="G2" s="191"/>
      <c r="S2" s="25"/>
    </row>
    <row r="3" spans="1:19" ht="18">
      <c r="A3" s="168" t="s">
        <v>209</v>
      </c>
      <c r="B3" s="168"/>
      <c r="C3" s="175"/>
      <c r="D3" s="180" t="s">
        <v>222</v>
      </c>
      <c r="F3" s="194" t="s">
        <v>233</v>
      </c>
      <c r="S3" s="25"/>
    </row>
    <row r="4" spans="1:19" ht="15.6">
      <c r="A4" s="170" t="s">
        <v>210</v>
      </c>
      <c r="B4" s="171"/>
      <c r="D4" s="208" t="s">
        <v>215</v>
      </c>
      <c r="F4" s="194" t="s">
        <v>232</v>
      </c>
      <c r="G4" s="191"/>
      <c r="S4" s="25"/>
    </row>
    <row r="5" spans="1:19" ht="15.6">
      <c r="A5" s="170" t="s">
        <v>211</v>
      </c>
      <c r="B5" s="170"/>
      <c r="D5" s="209" t="s">
        <v>212</v>
      </c>
      <c r="F5" s="195" t="s">
        <v>231</v>
      </c>
      <c r="G5" s="191"/>
      <c r="S5" s="25"/>
    </row>
    <row r="6" spans="1:19">
      <c r="A6" s="169" t="s">
        <v>213</v>
      </c>
      <c r="B6" s="169"/>
      <c r="D6" s="210" t="s">
        <v>214</v>
      </c>
      <c r="F6" s="106"/>
      <c r="G6" s="191"/>
      <c r="S6" s="25"/>
    </row>
    <row r="7" spans="1:19">
      <c r="A7" s="169"/>
      <c r="B7" s="169"/>
      <c r="D7" s="210"/>
      <c r="F7" s="193" t="s">
        <v>236</v>
      </c>
      <c r="G7" s="191"/>
      <c r="S7" s="25"/>
    </row>
    <row r="8" spans="1:19">
      <c r="A8" s="169" t="s">
        <v>218</v>
      </c>
      <c r="B8" s="169"/>
      <c r="D8" s="204">
        <v>69.13</v>
      </c>
      <c r="F8" s="196" t="s">
        <v>237</v>
      </c>
      <c r="G8" s="191"/>
      <c r="S8" s="25"/>
    </row>
    <row r="9" spans="1:19">
      <c r="A9" s="169" t="s">
        <v>216</v>
      </c>
      <c r="B9" s="169"/>
      <c r="D9" s="205">
        <v>46239</v>
      </c>
      <c r="F9" s="195" t="s">
        <v>234</v>
      </c>
      <c r="S9" s="25"/>
    </row>
    <row r="10" spans="1:19">
      <c r="A10" s="172" t="s">
        <v>217</v>
      </c>
      <c r="B10" s="169"/>
      <c r="D10" s="206" t="s">
        <v>219</v>
      </c>
      <c r="F10" s="195" t="s">
        <v>238</v>
      </c>
      <c r="G10" s="191"/>
      <c r="S10" s="25"/>
    </row>
    <row r="11" spans="1:19">
      <c r="A11" s="174" t="s">
        <v>220</v>
      </c>
      <c r="B11" s="174"/>
      <c r="C11" s="176"/>
      <c r="D11" s="207">
        <v>178020000</v>
      </c>
      <c r="F11" s="197" t="s">
        <v>235</v>
      </c>
      <c r="S11" s="25"/>
    </row>
    <row r="12" spans="1:19">
      <c r="A12" s="169"/>
      <c r="B12" s="169"/>
      <c r="C12" s="173"/>
      <c r="D12" s="211"/>
      <c r="F12" s="106"/>
      <c r="S12" s="25"/>
    </row>
    <row r="13" spans="1:19">
      <c r="D13" s="212"/>
      <c r="F13" s="193" t="s">
        <v>239</v>
      </c>
      <c r="S13" s="25"/>
    </row>
    <row r="14" spans="1:19" ht="18">
      <c r="A14" s="190" t="s">
        <v>221</v>
      </c>
      <c r="B14" s="177"/>
      <c r="C14" s="177"/>
      <c r="D14" s="189" t="s">
        <v>222</v>
      </c>
      <c r="F14" s="195" t="s">
        <v>243</v>
      </c>
      <c r="S14" s="25"/>
    </row>
    <row r="15" spans="1:19" ht="15.6">
      <c r="A15" s="181" t="s">
        <v>223</v>
      </c>
      <c r="B15" s="182"/>
      <c r="C15" s="182"/>
      <c r="D15" s="183">
        <f>'DCF model'!G78</f>
        <v>28.204164332139761</v>
      </c>
      <c r="F15" s="195" t="s">
        <v>240</v>
      </c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S15" s="25"/>
    </row>
    <row r="16" spans="1:19" ht="15.6">
      <c r="A16" s="178" t="s">
        <v>250</v>
      </c>
      <c r="B16" s="169"/>
      <c r="C16" s="169"/>
      <c r="D16" s="203">
        <f>(D15-D8)/D8</f>
        <v>-0.59201266697324229</v>
      </c>
      <c r="F16" s="198" t="s">
        <v>242</v>
      </c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S16" s="25"/>
    </row>
    <row r="17" spans="1:19" ht="15.6">
      <c r="A17" s="178" t="s">
        <v>3</v>
      </c>
      <c r="B17" s="169"/>
      <c r="C17" s="169"/>
      <c r="D17" s="184">
        <v>178020000</v>
      </c>
      <c r="F17" s="106" t="s">
        <v>241</v>
      </c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S17" s="25"/>
    </row>
    <row r="18" spans="1:19" ht="15.6">
      <c r="A18" s="178" t="s">
        <v>224</v>
      </c>
      <c r="B18" s="169"/>
      <c r="C18" s="169"/>
      <c r="D18" s="185">
        <v>12282</v>
      </c>
      <c r="F18" s="106" t="s">
        <v>244</v>
      </c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S18" s="25"/>
    </row>
    <row r="19" spans="1:19" ht="15.6">
      <c r="A19" s="178" t="s">
        <v>225</v>
      </c>
      <c r="B19" s="169"/>
      <c r="C19" s="169"/>
      <c r="D19" s="186">
        <f>'DCF model'!F29/1000</f>
        <v>1007.17</v>
      </c>
      <c r="F19" s="106" t="s">
        <v>245</v>
      </c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S19" s="25"/>
    </row>
    <row r="20" spans="1:19" ht="15.6">
      <c r="A20" s="178" t="s">
        <v>226</v>
      </c>
      <c r="D20" s="186">
        <f>'DCF model'!G71/1000</f>
        <v>1830.2860000000001</v>
      </c>
      <c r="F20" s="106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S20" s="25"/>
    </row>
    <row r="21" spans="1:19" ht="15.6">
      <c r="A21" s="187" t="s">
        <v>227</v>
      </c>
      <c r="B21" s="174"/>
      <c r="C21" s="174"/>
      <c r="D21" s="188">
        <f>'DCF model'!C66/1000</f>
        <v>4170.6793061621274</v>
      </c>
      <c r="F21" s="194" t="s">
        <v>246</v>
      </c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S21" s="25"/>
    </row>
    <row r="22" spans="1:19" ht="15.6">
      <c r="A22" s="178"/>
      <c r="B22" s="169"/>
      <c r="C22" s="169"/>
      <c r="D22" s="179"/>
      <c r="F22" s="194" t="s">
        <v>247</v>
      </c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S22" s="25"/>
    </row>
    <row r="23" spans="1:19">
      <c r="F23" s="199" t="s">
        <v>248</v>
      </c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S23" s="25"/>
    </row>
    <row r="24" spans="1:19">
      <c r="F24" s="200" t="s">
        <v>249</v>
      </c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176"/>
      <c r="S24" s="202"/>
    </row>
    <row r="25" spans="1:19"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</row>
    <row r="27" spans="1:19">
      <c r="F27" s="192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</row>
    <row r="28" spans="1:19">
      <c r="F28" s="192"/>
    </row>
    <row r="29" spans="1:19">
      <c r="F29" s="192"/>
    </row>
  </sheetData>
  <mergeCells count="2">
    <mergeCell ref="F1:S1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FD74-B25C-488A-BCDD-1DA1F4702AAB}">
  <dimension ref="A1:X78"/>
  <sheetViews>
    <sheetView zoomScale="85" zoomScaleNormal="85" workbookViewId="0">
      <selection activeCell="L14" sqref="L14"/>
    </sheetView>
  </sheetViews>
  <sheetFormatPr defaultColWidth="12.77734375" defaultRowHeight="14.4"/>
  <cols>
    <col min="1" max="1" width="16.33203125" style="2" customWidth="1"/>
    <col min="2" max="2" width="14.6640625" style="2" bestFit="1" customWidth="1"/>
    <col min="3" max="3" width="13.77734375" style="2" customWidth="1"/>
    <col min="4" max="4" width="11.33203125" style="2" bestFit="1" customWidth="1"/>
    <col min="5" max="5" width="11.21875" style="2" bestFit="1" customWidth="1"/>
    <col min="6" max="6" width="13.21875" style="2" bestFit="1" customWidth="1"/>
    <col min="7" max="7" width="14.5546875" style="2" customWidth="1"/>
    <col min="8" max="8" width="12.21875" style="2" customWidth="1"/>
    <col min="9" max="9" width="14" style="2" customWidth="1"/>
    <col min="10" max="12" width="9.44140625" style="2" bestFit="1" customWidth="1"/>
    <col min="13" max="16384" width="12.77734375" style="2"/>
  </cols>
  <sheetData>
    <row r="1" spans="1:15" ht="21">
      <c r="A1" s="213" t="s">
        <v>200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1:15" ht="21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</row>
    <row r="3" spans="1:15" ht="21">
      <c r="A3" s="167" t="s">
        <v>4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</row>
    <row r="4" spans="1:15" ht="21.6" thickBot="1">
      <c r="A4" s="215" t="s">
        <v>11</v>
      </c>
      <c r="B4" s="215"/>
      <c r="C4" s="215"/>
      <c r="D4" s="157">
        <f>E4-1</f>
        <v>2025</v>
      </c>
      <c r="E4" s="158">
        <v>2026</v>
      </c>
      <c r="F4" s="158">
        <f>E4+1</f>
        <v>2027</v>
      </c>
      <c r="G4" s="158">
        <f>F4+1</f>
        <v>2028</v>
      </c>
      <c r="H4" s="158">
        <f>G4+1</f>
        <v>2029</v>
      </c>
      <c r="I4" s="158">
        <f>H4+1</f>
        <v>2030</v>
      </c>
      <c r="J4" s="21"/>
      <c r="K4" s="21"/>
      <c r="L4" s="21"/>
    </row>
    <row r="5" spans="1:15" ht="18">
      <c r="A5" s="159"/>
      <c r="B5" s="5"/>
      <c r="C5" s="5"/>
      <c r="D5" s="159"/>
      <c r="E5" s="5"/>
      <c r="F5" s="5"/>
      <c r="G5" s="5"/>
      <c r="H5" s="5"/>
      <c r="I5" s="5"/>
      <c r="K5" s="151"/>
      <c r="L5" s="151"/>
    </row>
    <row r="6" spans="1:15" ht="18">
      <c r="A6" s="160" t="s">
        <v>45</v>
      </c>
      <c r="B6" s="5"/>
      <c r="C6" s="5"/>
      <c r="D6" s="161">
        <v>275457</v>
      </c>
      <c r="E6" s="24">
        <v>565900</v>
      </c>
      <c r="F6" s="24">
        <v>991800</v>
      </c>
      <c r="G6" s="24">
        <v>1584500</v>
      </c>
      <c r="H6" s="24">
        <v>1857150</v>
      </c>
      <c r="I6" s="24">
        <v>2062000</v>
      </c>
      <c r="K6" s="151"/>
      <c r="L6" s="151"/>
    </row>
    <row r="7" spans="1:15" ht="18">
      <c r="A7" s="9" t="s">
        <v>201</v>
      </c>
      <c r="B7" s="5"/>
      <c r="C7" s="5"/>
      <c r="D7" s="10">
        <v>0.35</v>
      </c>
      <c r="E7" s="10">
        <v>1.05</v>
      </c>
      <c r="F7" s="10">
        <v>0.75</v>
      </c>
      <c r="G7" s="10">
        <v>0.6</v>
      </c>
      <c r="H7" s="10">
        <v>0.17</v>
      </c>
      <c r="I7" s="10">
        <v>0.11</v>
      </c>
      <c r="K7" s="151"/>
      <c r="L7" s="151"/>
    </row>
    <row r="8" spans="1:15" ht="18">
      <c r="A8" s="9" t="s">
        <v>43</v>
      </c>
      <c r="B8" s="5"/>
      <c r="C8" s="5"/>
      <c r="D8" s="10">
        <v>-0.22</v>
      </c>
      <c r="E8" s="10">
        <v>0.12</v>
      </c>
      <c r="F8" s="10">
        <v>0.28000000000000003</v>
      </c>
      <c r="G8" s="10">
        <v>0.38</v>
      </c>
      <c r="H8" s="10">
        <v>0.44</v>
      </c>
      <c r="I8" s="10">
        <v>0.48</v>
      </c>
      <c r="K8" s="151"/>
      <c r="L8" s="151"/>
    </row>
    <row r="9" spans="1:15" ht="18.600000000000001" thickBot="1">
      <c r="A9" s="9" t="s">
        <v>8</v>
      </c>
      <c r="B9" s="5"/>
      <c r="C9" s="5"/>
      <c r="D9" s="162">
        <v>-60107</v>
      </c>
      <c r="E9" s="162">
        <v>66374</v>
      </c>
      <c r="F9" s="162">
        <v>272980</v>
      </c>
      <c r="G9" s="162">
        <v>596678</v>
      </c>
      <c r="H9" s="162">
        <v>808532</v>
      </c>
      <c r="I9" s="162">
        <v>986881</v>
      </c>
      <c r="K9" s="151"/>
      <c r="L9" s="151"/>
    </row>
    <row r="10" spans="1:15" ht="18">
      <c r="A10" s="9"/>
      <c r="B10" s="5"/>
      <c r="C10" s="5"/>
      <c r="D10" s="5"/>
      <c r="E10" s="5"/>
      <c r="F10" s="5"/>
      <c r="G10" s="5"/>
      <c r="H10" s="5"/>
      <c r="I10" s="5"/>
      <c r="K10" s="151"/>
      <c r="L10" s="151"/>
    </row>
    <row r="11" spans="1:15" ht="18">
      <c r="A11" s="9" t="s">
        <v>202</v>
      </c>
      <c r="B11" s="5"/>
      <c r="C11" s="5"/>
      <c r="D11" s="24">
        <v>-89267</v>
      </c>
      <c r="E11" s="24">
        <v>-122186</v>
      </c>
      <c r="F11" s="24">
        <v>-120219</v>
      </c>
      <c r="G11" s="24">
        <v>-127753</v>
      </c>
      <c r="H11" s="24">
        <v>-138089</v>
      </c>
      <c r="I11" s="24">
        <v>-130239</v>
      </c>
    </row>
    <row r="12" spans="1:15" ht="18.600000000000001" thickBot="1">
      <c r="A12" s="9" t="s">
        <v>203</v>
      </c>
      <c r="B12" s="5"/>
      <c r="C12" s="5"/>
      <c r="D12" s="162">
        <f t="shared" ref="D12:I12" si="0">SUM(D9:D11)</f>
        <v>-149374</v>
      </c>
      <c r="E12" s="162">
        <f t="shared" si="0"/>
        <v>-55812</v>
      </c>
      <c r="F12" s="162">
        <f t="shared" si="0"/>
        <v>152761</v>
      </c>
      <c r="G12" s="162">
        <f t="shared" si="0"/>
        <v>468925</v>
      </c>
      <c r="H12" s="162">
        <f t="shared" si="0"/>
        <v>670443</v>
      </c>
      <c r="I12" s="162">
        <f t="shared" si="0"/>
        <v>856642</v>
      </c>
    </row>
    <row r="13" spans="1:15" ht="18">
      <c r="A13" s="9"/>
      <c r="B13" s="5"/>
      <c r="C13" s="5"/>
      <c r="D13" s="5"/>
      <c r="E13" s="5"/>
      <c r="F13" s="5"/>
      <c r="G13" s="5"/>
      <c r="H13" s="5"/>
      <c r="I13" s="5"/>
    </row>
    <row r="14" spans="1:15" ht="18">
      <c r="A14" s="9" t="s">
        <v>10</v>
      </c>
      <c r="B14" s="5"/>
      <c r="C14" s="5"/>
      <c r="D14" s="10">
        <v>0</v>
      </c>
      <c r="E14" s="10">
        <v>0</v>
      </c>
      <c r="F14" s="164">
        <v>0</v>
      </c>
      <c r="G14" s="122">
        <v>0.26500000000000001</v>
      </c>
      <c r="H14" s="122">
        <v>0.26500000000000001</v>
      </c>
      <c r="I14" s="122">
        <v>0.26500000000000001</v>
      </c>
    </row>
    <row r="15" spans="1:15" ht="18.600000000000001" thickBot="1">
      <c r="A15" s="9" t="s">
        <v>9</v>
      </c>
      <c r="B15" s="5"/>
      <c r="C15" s="5"/>
      <c r="D15" s="162">
        <v>0</v>
      </c>
      <c r="E15" s="162">
        <v>0</v>
      </c>
      <c r="F15" s="162">
        <f>F12*F14</f>
        <v>0</v>
      </c>
      <c r="G15" s="162">
        <f>G12*G14</f>
        <v>124265.125</v>
      </c>
      <c r="H15" s="162">
        <f t="shared" ref="H15:I15" si="1">H12*H14</f>
        <v>177667.39500000002</v>
      </c>
      <c r="I15" s="162">
        <f t="shared" si="1"/>
        <v>227010.13</v>
      </c>
    </row>
    <row r="16" spans="1:15" ht="18">
      <c r="A16" s="5"/>
      <c r="B16" s="5"/>
      <c r="C16" s="5"/>
      <c r="D16" s="5"/>
      <c r="E16" s="5"/>
      <c r="F16" s="5"/>
      <c r="G16" s="5"/>
      <c r="H16" s="5"/>
      <c r="I16" s="5"/>
    </row>
    <row r="17" spans="1:15" ht="18">
      <c r="A17" s="215" t="s">
        <v>6</v>
      </c>
      <c r="B17" s="215"/>
      <c r="C17" s="215"/>
      <c r="D17" s="5"/>
      <c r="E17" s="5"/>
      <c r="F17" s="5"/>
      <c r="G17" s="5"/>
      <c r="H17" s="5"/>
      <c r="I17" s="5"/>
    </row>
    <row r="18" spans="1:15" ht="18">
      <c r="A18" s="5"/>
      <c r="B18" s="5"/>
      <c r="C18" s="5"/>
      <c r="D18" s="5"/>
      <c r="E18" s="5"/>
      <c r="F18" s="5"/>
      <c r="G18" s="5"/>
      <c r="H18" s="5"/>
      <c r="I18" s="5"/>
    </row>
    <row r="19" spans="1:15" ht="18">
      <c r="A19" s="9" t="s">
        <v>8</v>
      </c>
      <c r="B19" s="5"/>
      <c r="C19" s="5"/>
      <c r="D19" s="24">
        <f>D9</f>
        <v>-60107</v>
      </c>
      <c r="E19" s="24">
        <f>'Forecast Calculation'!C21</f>
        <v>66373.5</v>
      </c>
      <c r="F19" s="24">
        <f>'Forecast Calculation'!D21</f>
        <v>272980</v>
      </c>
      <c r="G19" s="24">
        <f>'Forecast Calculation'!E21</f>
        <v>596678.19999999995</v>
      </c>
      <c r="H19" s="24">
        <f>'Forecast Calculation'!F21</f>
        <v>808532.04599999997</v>
      </c>
      <c r="I19" s="24">
        <f>'Forecast Calculation'!G21</f>
        <v>986880.98237999994</v>
      </c>
    </row>
    <row r="20" spans="1:15" ht="18">
      <c r="A20" s="9" t="s">
        <v>7</v>
      </c>
      <c r="B20" s="5"/>
      <c r="C20" s="5"/>
      <c r="D20" s="5">
        <v>0</v>
      </c>
      <c r="E20" s="24">
        <v>0</v>
      </c>
      <c r="F20" s="24">
        <f>F15</f>
        <v>0</v>
      </c>
      <c r="G20" s="24">
        <f>-G15</f>
        <v>-124265.125</v>
      </c>
      <c r="H20" s="24">
        <f>-H15</f>
        <v>-177667.39500000002</v>
      </c>
      <c r="I20" s="24">
        <f>-I15</f>
        <v>-227010.13</v>
      </c>
    </row>
    <row r="21" spans="1:15" ht="18">
      <c r="A21" s="9" t="s">
        <v>204</v>
      </c>
      <c r="B21" s="5"/>
      <c r="C21" s="5"/>
      <c r="D21" s="24">
        <v>-172375</v>
      </c>
      <c r="E21" s="24">
        <v>-150000</v>
      </c>
      <c r="F21" s="24">
        <v>-400000</v>
      </c>
      <c r="G21" s="24">
        <v>-500000</v>
      </c>
      <c r="H21" s="24">
        <v>-200000</v>
      </c>
      <c r="I21" s="24">
        <v>-55000</v>
      </c>
    </row>
    <row r="22" spans="1:15" ht="18">
      <c r="A22" s="9" t="s">
        <v>205</v>
      </c>
      <c r="B22" s="5"/>
      <c r="C22" s="5"/>
      <c r="D22" s="24">
        <f>-'Forecast Calculation'!C64</f>
        <v>-23944</v>
      </c>
      <c r="E22" s="24">
        <f>-'Forecast Calculation'!D64</f>
        <v>-10724.296786516265</v>
      </c>
      <c r="F22" s="24">
        <f>-'Forecast Calculation'!E64</f>
        <v>24866.410927928344</v>
      </c>
      <c r="G22" s="24">
        <f>-'Forecast Calculation'!F64</f>
        <v>92728.520833250717</v>
      </c>
      <c r="H22" s="24">
        <f>-'Forecast Calculation'!G64</f>
        <v>25821.161100277386</v>
      </c>
      <c r="I22" s="24">
        <f>-'Forecast Calculation'!H64</f>
        <v>7103.0541452096077</v>
      </c>
    </row>
    <row r="23" spans="1:15" ht="18">
      <c r="A23" s="5"/>
      <c r="B23" s="5"/>
      <c r="C23" s="5"/>
      <c r="D23" s="5"/>
      <c r="E23" s="5"/>
      <c r="F23" s="5"/>
      <c r="G23" s="5"/>
      <c r="H23" s="5"/>
      <c r="I23" s="5"/>
    </row>
    <row r="24" spans="1:15" ht="18.600000000000001" thickBot="1">
      <c r="A24" s="9" t="s">
        <v>206</v>
      </c>
      <c r="B24" s="5"/>
      <c r="C24" s="5"/>
      <c r="D24" s="163">
        <f>SUM(D19:D22)</f>
        <v>-256426</v>
      </c>
      <c r="E24" s="163">
        <f>SUM(E19:E22)</f>
        <v>-94350.796786516265</v>
      </c>
      <c r="F24" s="163">
        <f>SUM(F19:F22)</f>
        <v>-102153.58907207166</v>
      </c>
      <c r="G24" s="163">
        <f t="shared" ref="G24:I24" si="2">SUM(G19:G22)</f>
        <v>65141.595833250671</v>
      </c>
      <c r="H24" s="163">
        <f t="shared" si="2"/>
        <v>456685.81210027734</v>
      </c>
      <c r="I24" s="163">
        <f t="shared" si="2"/>
        <v>711973.90652520955</v>
      </c>
    </row>
    <row r="25" spans="1:15" ht="18">
      <c r="A25" s="9"/>
      <c r="B25" s="5"/>
      <c r="C25" s="5"/>
      <c r="D25" s="62"/>
      <c r="E25" s="62"/>
      <c r="F25" s="62"/>
      <c r="G25" s="62"/>
      <c r="H25" s="62"/>
      <c r="I25" s="62"/>
    </row>
    <row r="27" spans="1:15" ht="21">
      <c r="A27" s="213" t="s">
        <v>1</v>
      </c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</row>
    <row r="28" spans="1:15" ht="18">
      <c r="A28" s="5" t="s">
        <v>5</v>
      </c>
      <c r="B28" s="5"/>
      <c r="C28" s="5"/>
      <c r="D28" s="5"/>
      <c r="E28" s="5"/>
      <c r="F28" s="22">
        <v>10836000</v>
      </c>
    </row>
    <row r="29" spans="1:15" ht="18">
      <c r="A29" s="5" t="s">
        <v>13</v>
      </c>
      <c r="B29" s="5"/>
      <c r="C29" s="5"/>
      <c r="D29" s="5"/>
      <c r="E29" s="5"/>
      <c r="F29" s="23">
        <v>1007170</v>
      </c>
    </row>
    <row r="30" spans="1:15" ht="18">
      <c r="A30" s="5" t="s">
        <v>14</v>
      </c>
      <c r="B30" s="5"/>
      <c r="C30" s="5"/>
      <c r="D30" s="5"/>
      <c r="E30" s="5"/>
      <c r="F30" s="12">
        <f>E41/F29</f>
        <v>3.1256888112235273E-2</v>
      </c>
    </row>
    <row r="31" spans="1:15" ht="18">
      <c r="A31" s="5" t="s">
        <v>10</v>
      </c>
      <c r="B31" s="5"/>
      <c r="C31" s="5"/>
      <c r="D31" s="5"/>
      <c r="E31" s="5"/>
      <c r="F31" s="12">
        <v>0.26500000000000001</v>
      </c>
    </row>
    <row r="32" spans="1:15" ht="18">
      <c r="A32" s="5" t="s">
        <v>15</v>
      </c>
      <c r="B32" s="5"/>
      <c r="C32" s="5"/>
      <c r="D32" s="5"/>
      <c r="E32" s="5"/>
      <c r="F32" s="12">
        <v>4.2479999999999997E-2</v>
      </c>
    </row>
    <row r="33" spans="1:24" ht="18">
      <c r="A33" s="5" t="s">
        <v>16</v>
      </c>
      <c r="B33" s="5"/>
      <c r="C33" s="5"/>
      <c r="D33" s="5"/>
      <c r="E33" s="5"/>
      <c r="F33" s="8">
        <v>1.68</v>
      </c>
    </row>
    <row r="34" spans="1:24" ht="18">
      <c r="A34" s="5" t="s">
        <v>17</v>
      </c>
      <c r="B34" s="5"/>
      <c r="C34" s="5"/>
      <c r="D34" s="5"/>
      <c r="E34" s="5"/>
      <c r="F34" s="12">
        <v>0.1</v>
      </c>
    </row>
    <row r="35" spans="1:24" ht="18">
      <c r="A35" s="13" t="s">
        <v>18</v>
      </c>
      <c r="B35" s="13"/>
      <c r="C35" s="13"/>
      <c r="D35" s="13"/>
      <c r="E35" s="13"/>
      <c r="F35" s="14">
        <f>F32+F33*(F34-F32)</f>
        <v>0.1391136</v>
      </c>
    </row>
    <row r="36" spans="1:24" ht="18">
      <c r="A36" s="5"/>
      <c r="B36" s="5"/>
      <c r="C36" s="5"/>
      <c r="D36" s="5"/>
      <c r="E36" s="5"/>
      <c r="F36" s="9"/>
    </row>
    <row r="37" spans="1:24" ht="18">
      <c r="A37" s="5" t="s">
        <v>19</v>
      </c>
      <c r="B37" s="5"/>
      <c r="C37" s="5"/>
      <c r="D37" s="5"/>
      <c r="E37" s="5"/>
      <c r="F37" s="15">
        <f>F28/(F28+F29)</f>
        <v>0.9149577351334145</v>
      </c>
    </row>
    <row r="38" spans="1:24" ht="18">
      <c r="A38" s="5" t="s">
        <v>20</v>
      </c>
      <c r="B38" s="5"/>
      <c r="C38" s="5"/>
      <c r="D38" s="5"/>
      <c r="E38" s="5"/>
      <c r="F38" s="15">
        <f>F29/(F29+F28)</f>
        <v>8.5042264866585546E-2</v>
      </c>
    </row>
    <row r="39" spans="1:24" ht="18">
      <c r="A39" s="16" t="s">
        <v>1</v>
      </c>
      <c r="B39" s="13"/>
      <c r="C39" s="13"/>
      <c r="D39" s="13"/>
      <c r="E39" s="13"/>
      <c r="F39" s="17">
        <f>F37*F35+F38*F30*(1-F31)</f>
        <v>0.12923680945219906</v>
      </c>
    </row>
    <row r="41" spans="1:24" ht="18">
      <c r="A41" s="5" t="s">
        <v>36</v>
      </c>
      <c r="B41" s="5"/>
      <c r="C41" s="5"/>
      <c r="D41" s="5"/>
      <c r="E41" s="55">
        <v>31481</v>
      </c>
    </row>
    <row r="42" spans="1:24" ht="18">
      <c r="A42" s="5"/>
      <c r="B42" s="5"/>
      <c r="C42" s="5"/>
      <c r="D42" s="5"/>
      <c r="E42" s="5"/>
    </row>
    <row r="44" spans="1:24" ht="21">
      <c r="A44" s="213" t="s">
        <v>21</v>
      </c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4"/>
      <c r="Q44" s="214"/>
      <c r="R44" s="214"/>
      <c r="S44" s="214"/>
      <c r="T44" s="214"/>
      <c r="U44" s="214"/>
      <c r="V44" s="21"/>
      <c r="W44" s="5"/>
      <c r="X44" s="5"/>
    </row>
    <row r="45" spans="1:24" ht="18">
      <c r="A45" s="7" t="s">
        <v>12</v>
      </c>
      <c r="B45" s="7"/>
      <c r="C45" s="7"/>
      <c r="D45" s="5"/>
      <c r="F45" s="5"/>
      <c r="G45" s="9"/>
      <c r="H45" s="5"/>
      <c r="I45" s="5"/>
    </row>
    <row r="46" spans="1:24" ht="18">
      <c r="A46" s="5" t="s">
        <v>22</v>
      </c>
      <c r="B46" s="5"/>
      <c r="C46" s="5"/>
      <c r="D46" s="156">
        <v>0.02</v>
      </c>
      <c r="F46" s="5"/>
      <c r="G46" s="9"/>
      <c r="H46" s="5"/>
      <c r="I46" s="5"/>
    </row>
    <row r="47" spans="1:24" ht="18">
      <c r="F47" s="5"/>
      <c r="G47" s="9"/>
      <c r="H47" s="5"/>
      <c r="I47" s="5"/>
    </row>
    <row r="48" spans="1:24" ht="21">
      <c r="A48" s="4"/>
      <c r="B48" s="4" t="s">
        <v>23</v>
      </c>
      <c r="C48" s="4"/>
      <c r="D48" s="3">
        <v>0</v>
      </c>
      <c r="E48" s="3">
        <v>1</v>
      </c>
      <c r="F48" s="3">
        <v>2</v>
      </c>
      <c r="G48" s="3">
        <v>3</v>
      </c>
      <c r="H48" s="3">
        <v>4</v>
      </c>
      <c r="I48" s="3">
        <v>5</v>
      </c>
    </row>
    <row r="49" spans="1:9" ht="18">
      <c r="A49" s="5"/>
      <c r="B49" s="5" t="s">
        <v>24</v>
      </c>
      <c r="C49" s="5"/>
      <c r="D49" s="62">
        <f>D24</f>
        <v>-256426</v>
      </c>
      <c r="E49" s="62">
        <f t="shared" ref="E49:I49" si="3">E24</f>
        <v>-94350.796786516265</v>
      </c>
      <c r="F49" s="62">
        <f t="shared" si="3"/>
        <v>-102153.58907207166</v>
      </c>
      <c r="G49" s="62">
        <f t="shared" si="3"/>
        <v>65141.595833250671</v>
      </c>
      <c r="H49" s="62">
        <f t="shared" si="3"/>
        <v>456685.81210027734</v>
      </c>
      <c r="I49" s="62">
        <f t="shared" si="3"/>
        <v>711973.90652520955</v>
      </c>
    </row>
    <row r="50" spans="1:9" ht="18">
      <c r="A50" s="5"/>
      <c r="B50" s="6"/>
      <c r="C50" s="5"/>
      <c r="D50" s="9"/>
      <c r="E50" s="9"/>
      <c r="F50" s="9"/>
      <c r="G50" s="9"/>
      <c r="H50" s="9"/>
      <c r="I50" s="9"/>
    </row>
    <row r="51" spans="1:9" ht="18">
      <c r="A51" s="5"/>
      <c r="B51" s="5"/>
      <c r="C51" s="5"/>
      <c r="D51" s="5"/>
      <c r="E51" s="5"/>
      <c r="F51" s="5"/>
      <c r="G51" s="9"/>
      <c r="H51" s="5"/>
      <c r="I51" s="5"/>
    </row>
    <row r="52" spans="1:9" ht="18">
      <c r="A52" s="5"/>
      <c r="B52" s="5"/>
      <c r="C52" s="5"/>
      <c r="D52" s="5"/>
      <c r="E52" s="5"/>
      <c r="F52" s="5"/>
      <c r="G52" s="9"/>
      <c r="H52" s="5"/>
      <c r="I52" s="5"/>
    </row>
    <row r="53" spans="1:9" ht="21">
      <c r="A53" s="5" t="s">
        <v>26</v>
      </c>
      <c r="B53" s="5"/>
      <c r="C53" s="5"/>
      <c r="D53" s="5"/>
      <c r="E53" s="5"/>
      <c r="F53" s="9" t="s">
        <v>25</v>
      </c>
      <c r="G53" s="9"/>
      <c r="H53" s="9"/>
      <c r="I53" s="3">
        <f>I49*(1+D46)/(F39-D46)</f>
        <v>6648064.7713671783</v>
      </c>
    </row>
    <row r="56" spans="1:9" ht="21">
      <c r="A56" s="213" t="s">
        <v>2</v>
      </c>
      <c r="B56" s="213"/>
      <c r="C56" s="213"/>
      <c r="D56" s="213"/>
      <c r="E56" s="213"/>
      <c r="F56" s="213"/>
      <c r="G56" s="213"/>
      <c r="H56" s="5"/>
      <c r="I56" s="9"/>
    </row>
    <row r="57" spans="1:9" ht="18">
      <c r="A57" s="5"/>
      <c r="B57" s="5"/>
      <c r="C57" s="5"/>
      <c r="D57" s="5"/>
      <c r="E57" s="5"/>
      <c r="F57" s="5"/>
      <c r="G57" s="9"/>
      <c r="H57" s="5"/>
      <c r="I57" s="5"/>
    </row>
    <row r="58" spans="1:9" ht="21">
      <c r="A58" s="4"/>
      <c r="B58" s="1" t="s">
        <v>23</v>
      </c>
      <c r="C58" s="4"/>
      <c r="D58" s="3">
        <v>0</v>
      </c>
      <c r="E58" s="3">
        <v>1</v>
      </c>
      <c r="F58" s="3">
        <v>2</v>
      </c>
      <c r="G58" s="3">
        <v>3</v>
      </c>
      <c r="H58" s="3">
        <v>4</v>
      </c>
      <c r="I58" s="3">
        <v>5</v>
      </c>
    </row>
    <row r="59" spans="1:9" ht="18">
      <c r="A59" s="5" t="s">
        <v>24</v>
      </c>
      <c r="B59" s="5"/>
      <c r="C59" s="5"/>
      <c r="D59" s="56">
        <f>D24</f>
        <v>-256426</v>
      </c>
      <c r="E59" s="56">
        <f t="shared" ref="E59:I59" si="4">E49</f>
        <v>-94350.796786516265</v>
      </c>
      <c r="F59" s="56">
        <f t="shared" si="4"/>
        <v>-102153.58907207166</v>
      </c>
      <c r="G59" s="56">
        <f t="shared" si="4"/>
        <v>65141.595833250671</v>
      </c>
      <c r="H59" s="56">
        <f t="shared" si="4"/>
        <v>456685.81210027734</v>
      </c>
      <c r="I59" s="56">
        <f t="shared" si="4"/>
        <v>711973.90652520955</v>
      </c>
    </row>
    <row r="60" spans="1:9" ht="18">
      <c r="A60" s="7" t="s">
        <v>27</v>
      </c>
      <c r="B60" s="7"/>
      <c r="C60" s="7"/>
      <c r="D60" s="18"/>
      <c r="E60" s="18"/>
      <c r="F60" s="18"/>
      <c r="G60" s="18"/>
      <c r="H60" s="18"/>
      <c r="I60" s="57">
        <f>I53</f>
        <v>6648064.7713671783</v>
      </c>
    </row>
    <row r="61" spans="1:9" ht="18">
      <c r="A61" s="5" t="s">
        <v>28</v>
      </c>
      <c r="B61" s="5"/>
      <c r="C61" s="5"/>
      <c r="D61" s="5"/>
      <c r="E61" s="58">
        <f>1/(1+$F$39)^E58</f>
        <v>0.88555384630537071</v>
      </c>
      <c r="F61" s="58">
        <f t="shared" ref="F61:I61" si="5">1/(1+$F$39)^F58</f>
        <v>0.78420561470623618</v>
      </c>
      <c r="G61" s="58">
        <f t="shared" si="5"/>
        <v>0.69445629839737499</v>
      </c>
      <c r="H61" s="58">
        <f t="shared" si="5"/>
        <v>0.61497844613678565</v>
      </c>
      <c r="I61" s="58">
        <f t="shared" si="5"/>
        <v>0.54459652837133077</v>
      </c>
    </row>
    <row r="62" spans="1:9" ht="18">
      <c r="A62" s="5"/>
      <c r="B62" s="5"/>
      <c r="C62" s="5"/>
      <c r="D62" s="5"/>
      <c r="E62" s="5"/>
      <c r="F62" s="5"/>
      <c r="G62" s="9"/>
      <c r="H62" s="5"/>
      <c r="I62" s="5"/>
    </row>
    <row r="63" spans="1:9" ht="18">
      <c r="A63" s="11" t="s">
        <v>29</v>
      </c>
      <c r="B63" s="11"/>
      <c r="C63" s="11"/>
      <c r="D63" s="11"/>
      <c r="E63" s="59">
        <f>E59*E61</f>
        <v>-83552.710996275884</v>
      </c>
      <c r="F63" s="59">
        <f t="shared" ref="F63:H63" si="6">F59*F61</f>
        <v>-80109.418112712199</v>
      </c>
      <c r="G63" s="59">
        <f t="shared" si="6"/>
        <v>45237.991514057125</v>
      </c>
      <c r="H63" s="59">
        <f t="shared" si="6"/>
        <v>280851.93109814462</v>
      </c>
      <c r="I63" s="59">
        <f>I59*I61</f>
        <v>387738.51778460346</v>
      </c>
    </row>
    <row r="64" spans="1:9" ht="18">
      <c r="A64" s="11" t="s">
        <v>30</v>
      </c>
      <c r="B64" s="11"/>
      <c r="C64" s="11"/>
      <c r="D64" s="11"/>
      <c r="E64" s="59"/>
      <c r="F64" s="59"/>
      <c r="G64" s="59"/>
      <c r="H64" s="59"/>
      <c r="I64" s="59">
        <f>I61*I60</f>
        <v>3620512.9948743102</v>
      </c>
    </row>
    <row r="65" spans="1:9" ht="18">
      <c r="A65" s="5"/>
      <c r="B65" s="5"/>
      <c r="C65" s="5"/>
      <c r="D65" s="5"/>
      <c r="E65" s="5"/>
      <c r="F65" s="5"/>
      <c r="G65" s="9"/>
      <c r="H65" s="5"/>
      <c r="I65" s="5"/>
    </row>
    <row r="66" spans="1:9" ht="21">
      <c r="A66" s="9" t="s">
        <v>2</v>
      </c>
      <c r="B66" s="9"/>
      <c r="C66" s="1">
        <f>SUM(E63:I64)</f>
        <v>4170679.3061621273</v>
      </c>
      <c r="D66" s="5"/>
      <c r="E66" s="5"/>
      <c r="F66" s="5"/>
      <c r="G66" s="9"/>
      <c r="H66" s="5"/>
      <c r="I66" s="5"/>
    </row>
    <row r="67" spans="1:9">
      <c r="F67" s="20"/>
    </row>
    <row r="68" spans="1:9">
      <c r="F68" s="20"/>
    </row>
    <row r="69" spans="1:9" ht="21">
      <c r="A69" s="213" t="s">
        <v>31</v>
      </c>
      <c r="B69" s="213"/>
      <c r="C69" s="213"/>
      <c r="D69" s="213"/>
      <c r="E69" s="213"/>
      <c r="F69" s="213"/>
      <c r="G69" s="213"/>
    </row>
    <row r="70" spans="1:9" ht="18">
      <c r="A70" s="5" t="s">
        <v>2</v>
      </c>
      <c r="B70" s="5"/>
      <c r="C70" s="5"/>
      <c r="D70" s="5"/>
      <c r="E70" s="5"/>
      <c r="F70" s="5"/>
      <c r="G70" s="152">
        <f>C66</f>
        <v>4170679.3061621273</v>
      </c>
    </row>
    <row r="71" spans="1:9" ht="18">
      <c r="A71" s="5" t="s">
        <v>161</v>
      </c>
      <c r="B71" s="5"/>
      <c r="C71" s="5"/>
      <c r="D71" s="5"/>
      <c r="E71" s="5"/>
      <c r="F71" s="5"/>
      <c r="G71" s="153">
        <v>1830286</v>
      </c>
    </row>
    <row r="72" spans="1:9" ht="18">
      <c r="A72" s="5" t="s">
        <v>162</v>
      </c>
      <c r="B72" s="5"/>
      <c r="C72" s="5"/>
      <c r="D72" s="5"/>
      <c r="E72" s="5"/>
      <c r="F72" s="5"/>
      <c r="G72" s="153">
        <v>413611</v>
      </c>
    </row>
    <row r="73" spans="1:9" ht="18">
      <c r="A73" s="5" t="s">
        <v>33</v>
      </c>
      <c r="B73" s="5"/>
      <c r="C73" s="5"/>
      <c r="D73" s="5"/>
      <c r="E73" s="5"/>
      <c r="F73" s="5"/>
      <c r="G73" s="154">
        <v>67411</v>
      </c>
    </row>
    <row r="74" spans="1:9" ht="18">
      <c r="A74" s="7" t="s">
        <v>32</v>
      </c>
      <c r="B74" s="7"/>
      <c r="C74" s="7"/>
      <c r="D74" s="7"/>
      <c r="E74" s="7"/>
      <c r="F74" s="7"/>
      <c r="G74" s="155">
        <v>931330</v>
      </c>
    </row>
    <row r="75" spans="1:9" ht="21">
      <c r="A75" s="9" t="s">
        <v>5</v>
      </c>
      <c r="B75" s="5"/>
      <c r="C75" s="5"/>
      <c r="D75" s="5"/>
      <c r="E75" s="5"/>
      <c r="F75" s="5"/>
      <c r="G75" s="3">
        <f>G70+SUM(G71:G71)-SUM(G73:G74)</f>
        <v>5002224.3061621273</v>
      </c>
      <c r="H75" s="2" t="s">
        <v>0</v>
      </c>
    </row>
    <row r="76" spans="1:9" ht="18">
      <c r="A76" s="5"/>
      <c r="B76" s="5"/>
      <c r="C76" s="5"/>
      <c r="D76" s="5"/>
      <c r="E76" s="5"/>
      <c r="F76" s="5"/>
      <c r="G76" s="9"/>
    </row>
    <row r="77" spans="1:9" ht="18">
      <c r="A77" s="5" t="s">
        <v>3</v>
      </c>
      <c r="B77" s="5"/>
      <c r="C77" s="5"/>
      <c r="D77" s="5"/>
      <c r="E77" s="5"/>
      <c r="F77" s="5"/>
      <c r="G77" s="60">
        <v>177357.65</v>
      </c>
    </row>
    <row r="78" spans="1:9" ht="18">
      <c r="A78" s="9" t="s">
        <v>34</v>
      </c>
      <c r="B78" s="5"/>
      <c r="C78" s="5"/>
      <c r="D78" s="5"/>
      <c r="E78" s="5"/>
      <c r="F78" s="5"/>
      <c r="G78" s="19">
        <f>G75/G77</f>
        <v>28.204164332139761</v>
      </c>
    </row>
  </sheetData>
  <mergeCells count="8">
    <mergeCell ref="A69:G69"/>
    <mergeCell ref="A1:O1"/>
    <mergeCell ref="A27:O27"/>
    <mergeCell ref="P44:U44"/>
    <mergeCell ref="A44:O44"/>
    <mergeCell ref="A56:G56"/>
    <mergeCell ref="A17:C17"/>
    <mergeCell ref="A4:C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DF0D-7054-4240-91C7-A34350043C88}">
  <dimension ref="A1:Q87"/>
  <sheetViews>
    <sheetView topLeftCell="A57" zoomScale="70" zoomScaleNormal="70" workbookViewId="0">
      <selection activeCell="C7" sqref="C7"/>
    </sheetView>
  </sheetViews>
  <sheetFormatPr defaultRowHeight="14.4"/>
  <cols>
    <col min="1" max="1" width="41.44140625" customWidth="1"/>
    <col min="2" max="2" width="20" customWidth="1"/>
    <col min="3" max="3" width="20.44140625" customWidth="1"/>
    <col min="4" max="4" width="17" customWidth="1"/>
    <col min="5" max="5" width="18" customWidth="1"/>
    <col min="6" max="6" width="24.77734375" customWidth="1"/>
    <col min="7" max="7" width="18.5546875" customWidth="1"/>
    <col min="8" max="8" width="19.5546875" customWidth="1"/>
    <col min="9" max="9" width="28.44140625" customWidth="1"/>
    <col min="10" max="10" width="12.21875" bestFit="1" customWidth="1"/>
    <col min="11" max="13" width="13.21875" bestFit="1" customWidth="1"/>
    <col min="14" max="15" width="14.21875" bestFit="1" customWidth="1"/>
    <col min="16" max="16" width="9.44140625" customWidth="1"/>
  </cols>
  <sheetData>
    <row r="1" spans="1:8" ht="21">
      <c r="A1" s="219" t="s">
        <v>177</v>
      </c>
      <c r="B1" s="219"/>
      <c r="C1" s="219"/>
      <c r="D1" s="219"/>
      <c r="E1" s="219"/>
      <c r="F1" s="219"/>
      <c r="G1" s="219"/>
    </row>
    <row r="2" spans="1:8" ht="18">
      <c r="A2" s="108" t="s">
        <v>84</v>
      </c>
      <c r="B2" s="109" t="s">
        <v>44</v>
      </c>
      <c r="C2" s="109" t="s">
        <v>37</v>
      </c>
      <c r="D2" s="109" t="s">
        <v>38</v>
      </c>
      <c r="E2" s="109" t="s">
        <v>39</v>
      </c>
      <c r="F2" s="109" t="s">
        <v>40</v>
      </c>
      <c r="G2" s="110" t="s">
        <v>41</v>
      </c>
    </row>
    <row r="3" spans="1:8" ht="18">
      <c r="A3" s="111" t="s">
        <v>193</v>
      </c>
      <c r="B3" s="112">
        <v>1994000</v>
      </c>
      <c r="C3" s="113">
        <v>3690000</v>
      </c>
      <c r="D3" s="113">
        <v>5380000</v>
      </c>
      <c r="E3" s="113">
        <v>4950000</v>
      </c>
      <c r="F3" s="113">
        <v>4665000</v>
      </c>
      <c r="G3" s="114">
        <v>4200000</v>
      </c>
    </row>
    <row r="4" spans="1:8" ht="18">
      <c r="A4" s="111" t="s">
        <v>85</v>
      </c>
      <c r="B4" s="115" t="s">
        <v>46</v>
      </c>
      <c r="C4" s="116">
        <v>110</v>
      </c>
      <c r="D4" s="116">
        <v>110</v>
      </c>
      <c r="E4" s="116">
        <v>110</v>
      </c>
      <c r="F4" s="116">
        <v>110</v>
      </c>
      <c r="G4" s="117">
        <v>110</v>
      </c>
    </row>
    <row r="5" spans="1:8" ht="18">
      <c r="A5" s="118" t="s">
        <v>49</v>
      </c>
      <c r="B5" s="145" t="s">
        <v>46</v>
      </c>
      <c r="C5" s="146">
        <f>(C3*C4)/1000</f>
        <v>405900</v>
      </c>
      <c r="D5" s="146">
        <f>(D3*D4)/1000</f>
        <v>591800</v>
      </c>
      <c r="E5" s="146">
        <f>(E3*E4)/1000</f>
        <v>544500</v>
      </c>
      <c r="F5" s="146">
        <f>(F3*F4)/1000</f>
        <v>513150</v>
      </c>
      <c r="G5" s="147">
        <f>(G3*G4)/1000</f>
        <v>462000</v>
      </c>
    </row>
    <row r="6" spans="1:8" ht="18">
      <c r="A6" s="111" t="s">
        <v>59</v>
      </c>
      <c r="B6" s="115" t="s">
        <v>46</v>
      </c>
      <c r="C6" s="116">
        <v>1000000</v>
      </c>
      <c r="D6" s="116">
        <v>2500000</v>
      </c>
      <c r="E6" s="116">
        <v>6500000</v>
      </c>
      <c r="F6" s="116">
        <v>8400000</v>
      </c>
      <c r="G6" s="117">
        <v>10000000</v>
      </c>
    </row>
    <row r="7" spans="1:8" ht="18">
      <c r="A7" s="111" t="s">
        <v>48</v>
      </c>
      <c r="B7" s="115" t="s">
        <v>46</v>
      </c>
      <c r="C7" s="116">
        <v>160</v>
      </c>
      <c r="D7" s="116">
        <v>160</v>
      </c>
      <c r="E7" s="116">
        <v>160</v>
      </c>
      <c r="F7" s="116">
        <v>160</v>
      </c>
      <c r="G7" s="117">
        <v>160</v>
      </c>
    </row>
    <row r="8" spans="1:8" ht="18">
      <c r="A8" s="118" t="s">
        <v>47</v>
      </c>
      <c r="B8" s="119" t="s">
        <v>46</v>
      </c>
      <c r="C8" s="146">
        <f>(C6*C7)/1000</f>
        <v>160000</v>
      </c>
      <c r="D8" s="146">
        <f>(D6*D7)/1000</f>
        <v>400000</v>
      </c>
      <c r="E8" s="146">
        <f>(E6*E7)/1000</f>
        <v>1040000</v>
      </c>
      <c r="F8" s="146">
        <f>(F6*F7)/1000</f>
        <v>1344000</v>
      </c>
      <c r="G8" s="147">
        <f>(G6*G7)/1000</f>
        <v>1600000</v>
      </c>
    </row>
    <row r="9" spans="1:8" ht="18">
      <c r="A9" s="121" t="s">
        <v>135</v>
      </c>
      <c r="B9" s="148">
        <v>275457</v>
      </c>
      <c r="C9" s="149">
        <f>(C5+C8)/1</f>
        <v>565900</v>
      </c>
      <c r="D9" s="149">
        <f>(D5+D8)/1</f>
        <v>991800</v>
      </c>
      <c r="E9" s="149">
        <f>(E5+E8)/1</f>
        <v>1584500</v>
      </c>
      <c r="F9" s="149">
        <f>(F5+F8)/1</f>
        <v>1857150</v>
      </c>
      <c r="G9" s="150">
        <f>(G5+G8)/1</f>
        <v>2062000</v>
      </c>
    </row>
    <row r="10" spans="1:8" ht="18">
      <c r="A10" s="111" t="s">
        <v>42</v>
      </c>
      <c r="B10" s="122">
        <f>(B9-203855)/203855</f>
        <v>0.35123985185548551</v>
      </c>
      <c r="C10" s="122">
        <f>(C9-B9)/B9</f>
        <v>1.0544041356727185</v>
      </c>
      <c r="D10" s="122">
        <f>(D9-C9)/C9</f>
        <v>0.75260646757377625</v>
      </c>
      <c r="E10" s="122">
        <f>(E9-D9)/D9</f>
        <v>0.59760032264569474</v>
      </c>
      <c r="F10" s="122">
        <f>(F9-E9)/E9</f>
        <v>0.17207320921426317</v>
      </c>
      <c r="G10" s="123">
        <f>(G9-F9)/F9</f>
        <v>0.11030342190991572</v>
      </c>
    </row>
    <row r="11" spans="1:8" ht="18">
      <c r="A11" s="124" t="s">
        <v>194</v>
      </c>
      <c r="B11" s="96">
        <v>192789</v>
      </c>
      <c r="C11" s="96">
        <f>(C9*C12)</f>
        <v>350858</v>
      </c>
      <c r="D11" s="96">
        <f>(D9*D12)</f>
        <v>545490</v>
      </c>
      <c r="E11" s="96">
        <f>(E9*E12)</f>
        <v>792250</v>
      </c>
      <c r="F11" s="96">
        <f>(F9*F12)</f>
        <v>854289</v>
      </c>
      <c r="G11" s="120">
        <f>(G9*G12)</f>
        <v>886660</v>
      </c>
    </row>
    <row r="12" spans="1:8" ht="18">
      <c r="A12" s="125" t="s">
        <v>65</v>
      </c>
      <c r="B12" s="126">
        <f>B11/B9</f>
        <v>0.69988782278177719</v>
      </c>
      <c r="C12" s="126">
        <v>0.62</v>
      </c>
      <c r="D12" s="126">
        <v>0.55000000000000004</v>
      </c>
      <c r="E12" s="126">
        <v>0.5</v>
      </c>
      <c r="F12" s="126">
        <v>0.46</v>
      </c>
      <c r="G12" s="127">
        <v>0.43</v>
      </c>
      <c r="H12" s="32"/>
    </row>
    <row r="13" spans="1:8" ht="18">
      <c r="A13" s="124" t="s">
        <v>195</v>
      </c>
      <c r="B13" s="96">
        <v>112066</v>
      </c>
      <c r="C13" s="96">
        <f>(C9*C14)/1</f>
        <v>121668.5</v>
      </c>
      <c r="D13" s="96">
        <f>(D9*D14)/1</f>
        <v>148770</v>
      </c>
      <c r="E13" s="96">
        <f>(E9*E14)/1</f>
        <v>158450</v>
      </c>
      <c r="F13" s="96">
        <f>(F9*F14)/1</f>
        <v>167143.5</v>
      </c>
      <c r="G13" s="120">
        <f>(G9*G14)/1</f>
        <v>173208</v>
      </c>
    </row>
    <row r="14" spans="1:8" ht="18">
      <c r="A14" s="125" t="s">
        <v>61</v>
      </c>
      <c r="B14" s="95">
        <v>0.40699999999999997</v>
      </c>
      <c r="C14" s="95">
        <v>0.215</v>
      </c>
      <c r="D14" s="95">
        <v>0.15</v>
      </c>
      <c r="E14" s="95">
        <v>0.1</v>
      </c>
      <c r="F14" s="95">
        <v>0.09</v>
      </c>
      <c r="G14" s="128">
        <v>8.4000000000000005E-2</v>
      </c>
    </row>
    <row r="15" spans="1:8" ht="18">
      <c r="A15" s="124" t="s">
        <v>196</v>
      </c>
      <c r="B15" s="96">
        <v>4286</v>
      </c>
      <c r="C15" s="96">
        <v>15000</v>
      </c>
      <c r="D15" s="96">
        <v>10000</v>
      </c>
      <c r="E15" s="96">
        <v>20000</v>
      </c>
      <c r="F15" s="96">
        <v>15000</v>
      </c>
      <c r="G15" s="120">
        <v>5000</v>
      </c>
    </row>
    <row r="16" spans="1:8" ht="18">
      <c r="A16" s="125" t="s">
        <v>62</v>
      </c>
      <c r="B16" s="95">
        <v>1.6E-2</v>
      </c>
      <c r="C16" s="95">
        <f>C15/C9</f>
        <v>2.6506449902809683E-2</v>
      </c>
      <c r="D16" s="95">
        <f>D15/D9</f>
        <v>1.0082677959265981E-2</v>
      </c>
      <c r="E16" s="95">
        <f>E15/E9</f>
        <v>1.2622278321236984E-2</v>
      </c>
      <c r="F16" s="95">
        <f>F15/F9</f>
        <v>8.0768920119537995E-3</v>
      </c>
      <c r="G16" s="128">
        <f>G15/G9</f>
        <v>2.4248302618816685E-3</v>
      </c>
    </row>
    <row r="17" spans="1:17" s="2" customFormat="1" ht="18">
      <c r="A17" s="124" t="s">
        <v>197</v>
      </c>
      <c r="B17" s="96">
        <v>24208</v>
      </c>
      <c r="C17" s="96">
        <v>10000</v>
      </c>
      <c r="D17" s="96">
        <v>12500</v>
      </c>
      <c r="E17" s="96">
        <v>15000</v>
      </c>
      <c r="F17" s="96">
        <v>10000</v>
      </c>
      <c r="G17" s="120">
        <v>8000</v>
      </c>
      <c r="H17"/>
      <c r="I17"/>
      <c r="J17"/>
      <c r="K17"/>
      <c r="L17"/>
      <c r="M17"/>
      <c r="N17"/>
      <c r="O17"/>
      <c r="P17"/>
      <c r="Q17"/>
    </row>
    <row r="18" spans="1:17" ht="18">
      <c r="A18" s="125" t="s">
        <v>63</v>
      </c>
      <c r="B18" s="95">
        <v>8.8000000000000007</v>
      </c>
      <c r="C18" s="95">
        <f>C17/C9</f>
        <v>1.7670966601873124E-2</v>
      </c>
      <c r="D18" s="95">
        <f>D17/D9</f>
        <v>1.2603347449082477E-2</v>
      </c>
      <c r="E18" s="95">
        <f>E17/E9</f>
        <v>9.4667087409277366E-3</v>
      </c>
      <c r="F18" s="95">
        <f>F17/F9</f>
        <v>5.3845946746358666E-3</v>
      </c>
      <c r="G18" s="128">
        <f>G17/G9</f>
        <v>3.8797284190106693E-3</v>
      </c>
    </row>
    <row r="19" spans="1:17" ht="18">
      <c r="A19" s="124" t="s">
        <v>146</v>
      </c>
      <c r="B19" s="96">
        <v>2215</v>
      </c>
      <c r="C19" s="96">
        <v>2000</v>
      </c>
      <c r="D19" s="96">
        <f>(C19*1.03)/1</f>
        <v>2060</v>
      </c>
      <c r="E19" s="96">
        <f>(D19*1.03)</f>
        <v>2121.8000000000002</v>
      </c>
      <c r="F19" s="96">
        <f>(E19*1.03)</f>
        <v>2185.4540000000002</v>
      </c>
      <c r="G19" s="120">
        <f>(F19*1.03)</f>
        <v>2251.0176200000001</v>
      </c>
    </row>
    <row r="20" spans="1:17" ht="18">
      <c r="A20" s="125" t="s">
        <v>147</v>
      </c>
      <c r="B20" s="95">
        <f t="shared" ref="B20:G20" si="0">B19/B9</f>
        <v>8.041182471311312E-3</v>
      </c>
      <c r="C20" s="95">
        <f t="shared" si="0"/>
        <v>3.5341933203746245E-3</v>
      </c>
      <c r="D20" s="95">
        <f t="shared" si="0"/>
        <v>2.0770316596087921E-3</v>
      </c>
      <c r="E20" s="95">
        <f t="shared" si="0"/>
        <v>1.3390975071000317E-3</v>
      </c>
      <c r="F20" s="95">
        <f t="shared" si="0"/>
        <v>1.1767783970061654E-3</v>
      </c>
      <c r="G20" s="128">
        <f t="shared" si="0"/>
        <v>1.09166712900097E-3</v>
      </c>
    </row>
    <row r="21" spans="1:17" ht="18">
      <c r="A21" s="129" t="s">
        <v>8</v>
      </c>
      <c r="B21" s="130">
        <f t="shared" ref="B21:G21" si="1">B9-B11-B13-B15-B17-B19</f>
        <v>-60107</v>
      </c>
      <c r="C21" s="130">
        <f t="shared" si="1"/>
        <v>66373.5</v>
      </c>
      <c r="D21" s="130">
        <f t="shared" si="1"/>
        <v>272980</v>
      </c>
      <c r="E21" s="130">
        <f t="shared" si="1"/>
        <v>596678.19999999995</v>
      </c>
      <c r="F21" s="130">
        <f t="shared" si="1"/>
        <v>808532.04599999997</v>
      </c>
      <c r="G21" s="131">
        <f t="shared" si="1"/>
        <v>986880.98237999994</v>
      </c>
    </row>
    <row r="22" spans="1:17" ht="18">
      <c r="A22" s="129" t="s">
        <v>64</v>
      </c>
      <c r="B22" s="132">
        <f t="shared" ref="B22:G22" si="2">B21/B9</f>
        <v>-0.21820828659282573</v>
      </c>
      <c r="C22" s="132">
        <f t="shared" si="2"/>
        <v>0.11728839017494257</v>
      </c>
      <c r="D22" s="132">
        <f t="shared" si="2"/>
        <v>0.27523694293204276</v>
      </c>
      <c r="E22" s="132">
        <f t="shared" si="2"/>
        <v>0.3765719154307352</v>
      </c>
      <c r="F22" s="132">
        <f t="shared" si="2"/>
        <v>0.43536173491640417</v>
      </c>
      <c r="G22" s="133">
        <f t="shared" si="2"/>
        <v>0.47860377419010669</v>
      </c>
    </row>
    <row r="24" spans="1:17" ht="21">
      <c r="A24" s="220" t="s">
        <v>178</v>
      </c>
      <c r="B24" s="220"/>
      <c r="C24" s="220"/>
      <c r="D24" s="220"/>
      <c r="E24" s="220"/>
      <c r="F24" s="220"/>
      <c r="G24" s="220"/>
    </row>
    <row r="25" spans="1:17" ht="18">
      <c r="A25" s="33" t="s">
        <v>109</v>
      </c>
      <c r="B25" s="33" t="s">
        <v>44</v>
      </c>
      <c r="C25" s="33" t="s">
        <v>37</v>
      </c>
      <c r="D25" s="33" t="s">
        <v>38</v>
      </c>
      <c r="E25" s="33" t="s">
        <v>39</v>
      </c>
      <c r="F25" s="34" t="s">
        <v>40</v>
      </c>
      <c r="G25" s="34" t="s">
        <v>41</v>
      </c>
    </row>
    <row r="26" spans="1:17" ht="18">
      <c r="A26" s="33" t="s">
        <v>108</v>
      </c>
      <c r="B26" s="47">
        <f>C26+B31-B27</f>
        <v>552212</v>
      </c>
      <c r="C26" s="48">
        <v>655000</v>
      </c>
      <c r="D26" s="48">
        <f>C26+C27-C31</f>
        <v>734841.16573435115</v>
      </c>
      <c r="E26" s="48">
        <f>D26+D27-D31</f>
        <v>1064915.0780275476</v>
      </c>
      <c r="F26" s="48">
        <f>E26+E27-E31</f>
        <v>1484559.5717883063</v>
      </c>
      <c r="G26" s="48">
        <f>F26+F27-F31</f>
        <v>1589182.8301424547</v>
      </c>
    </row>
    <row r="27" spans="1:17" ht="18">
      <c r="A27" s="33" t="s">
        <v>110</v>
      </c>
      <c r="B27" s="49">
        <v>172375</v>
      </c>
      <c r="C27" s="49">
        <v>150000</v>
      </c>
      <c r="D27" s="49">
        <v>400000</v>
      </c>
      <c r="E27" s="49">
        <v>500000</v>
      </c>
      <c r="F27" s="49">
        <v>200000</v>
      </c>
      <c r="G27" s="49">
        <v>55000</v>
      </c>
    </row>
    <row r="28" spans="1:17" ht="18">
      <c r="A28" s="34" t="s">
        <v>115</v>
      </c>
      <c r="B28" s="39">
        <f>B31/C26</f>
        <v>0.10623969465648855</v>
      </c>
      <c r="C28" s="39">
        <v>0.10623969465648855</v>
      </c>
      <c r="D28" s="39">
        <v>0.10623969465648855</v>
      </c>
      <c r="E28" s="39">
        <v>0.10623969465648855</v>
      </c>
      <c r="F28" s="39">
        <v>0.10623969465648855</v>
      </c>
      <c r="G28" s="39">
        <v>0.10623969465648855</v>
      </c>
    </row>
    <row r="29" spans="1:17" ht="18">
      <c r="A29" s="44" t="s">
        <v>114</v>
      </c>
      <c r="B29" s="50" t="s">
        <v>46</v>
      </c>
      <c r="C29" s="51">
        <f>B26*B28</f>
        <v>58666.83426564886</v>
      </c>
      <c r="D29" s="51">
        <f>(B26-SUM(C29)) *D28</f>
        <v>52434.087706803504</v>
      </c>
      <c r="E29" s="51">
        <f>($B$26-SUM(C29:D29)) *E28</f>
        <v>46863.506239241156</v>
      </c>
      <c r="F29" s="51">
        <f>($B$26-SUM(C29:E29)) *F28</f>
        <v>41884.741645851733</v>
      </c>
      <c r="G29" s="51">
        <f>($B$26-SUM(C29:F29)) *G28</f>
        <v>37434.919482630532</v>
      </c>
    </row>
    <row r="30" spans="1:17" ht="18">
      <c r="A30" s="43" t="s">
        <v>129</v>
      </c>
      <c r="B30" s="52" t="s">
        <v>46</v>
      </c>
      <c r="C30" s="52">
        <f>'Forecast Calculation'!C45</f>
        <v>11492</v>
      </c>
      <c r="D30" s="52">
        <f>'Forecast Calculation'!D45</f>
        <v>17492</v>
      </c>
      <c r="E30" s="52">
        <f>'Forecast Calculation'!E45</f>
        <v>33492</v>
      </c>
      <c r="F30" s="52">
        <f>'Forecast Calculation'!F45</f>
        <v>53492</v>
      </c>
      <c r="G30" s="52">
        <f>'Forecast Calculation'!G45</f>
        <v>61492</v>
      </c>
    </row>
    <row r="31" spans="1:17" ht="18">
      <c r="A31" s="38" t="s">
        <v>130</v>
      </c>
      <c r="B31" s="53">
        <v>69587</v>
      </c>
      <c r="C31" s="53">
        <f>SUM(C29:C30)</f>
        <v>70158.834265648853</v>
      </c>
      <c r="D31" s="53">
        <f>SUM(D29:D30)</f>
        <v>69926.087706803504</v>
      </c>
      <c r="E31" s="53">
        <f>SUM(E29:E30)</f>
        <v>80355.506239241164</v>
      </c>
      <c r="F31" s="53">
        <f>SUM(F29:F30)</f>
        <v>95376.741645851725</v>
      </c>
      <c r="G31" s="53">
        <f>SUM(G29:G30)</f>
        <v>98926.919482630532</v>
      </c>
    </row>
    <row r="32" spans="1:17" ht="18">
      <c r="A32" s="34" t="s">
        <v>127</v>
      </c>
      <c r="B32" s="45">
        <v>50692</v>
      </c>
      <c r="C32" s="45">
        <v>55000</v>
      </c>
      <c r="D32" s="45">
        <v>60000</v>
      </c>
      <c r="E32" s="45">
        <v>60000</v>
      </c>
      <c r="F32" s="45">
        <v>65000</v>
      </c>
      <c r="G32" s="45">
        <v>65000</v>
      </c>
    </row>
    <row r="33" spans="1:10" ht="18">
      <c r="A33" s="34" t="s">
        <v>128</v>
      </c>
      <c r="B33" s="35">
        <v>132.6</v>
      </c>
      <c r="C33" s="35">
        <v>132.6</v>
      </c>
      <c r="D33" s="35">
        <v>132.6</v>
      </c>
      <c r="E33" s="35">
        <v>132.6</v>
      </c>
      <c r="F33" s="35">
        <v>132.6</v>
      </c>
      <c r="G33" s="35">
        <v>132.6</v>
      </c>
    </row>
    <row r="34" spans="1:10" ht="18">
      <c r="A34" s="46" t="s">
        <v>131</v>
      </c>
      <c r="B34" s="54">
        <v>6724</v>
      </c>
      <c r="C34" s="54">
        <f>C32*C33/1000</f>
        <v>7293</v>
      </c>
      <c r="D34" s="54">
        <f>D32*D33/1000</f>
        <v>7956</v>
      </c>
      <c r="E34" s="54">
        <f>E32*E33/1000</f>
        <v>7956</v>
      </c>
      <c r="F34" s="54">
        <f>F32*F33/1000</f>
        <v>8619</v>
      </c>
      <c r="G34" s="54">
        <f>G32*G33/1000</f>
        <v>8619</v>
      </c>
    </row>
    <row r="35" spans="1:10" ht="18">
      <c r="A35" s="87" t="s">
        <v>132</v>
      </c>
      <c r="B35" s="88">
        <v>1195</v>
      </c>
      <c r="C35" s="88">
        <v>1195</v>
      </c>
      <c r="D35" s="88">
        <v>1195</v>
      </c>
      <c r="E35" s="88">
        <v>1195</v>
      </c>
      <c r="F35" s="88">
        <v>1195</v>
      </c>
      <c r="G35" s="88">
        <v>1195</v>
      </c>
    </row>
    <row r="36" spans="1:10" ht="18">
      <c r="A36" s="89" t="s">
        <v>133</v>
      </c>
      <c r="B36" s="90">
        <v>11434</v>
      </c>
      <c r="C36" s="90">
        <v>43539</v>
      </c>
      <c r="D36" s="90">
        <v>41142</v>
      </c>
      <c r="E36" s="90">
        <v>38246</v>
      </c>
      <c r="F36" s="90">
        <v>32898</v>
      </c>
      <c r="G36" s="90">
        <v>21498</v>
      </c>
    </row>
    <row r="37" spans="1:10" ht="18">
      <c r="A37" s="91" t="s">
        <v>134</v>
      </c>
      <c r="B37" s="88">
        <f t="shared" ref="B37:G37" si="3">SUM(B34:B36,B31)</f>
        <v>88940</v>
      </c>
      <c r="C37" s="88">
        <f t="shared" si="3"/>
        <v>122185.83426564885</v>
      </c>
      <c r="D37" s="88">
        <f t="shared" si="3"/>
        <v>120219.0877068035</v>
      </c>
      <c r="E37" s="88">
        <f t="shared" si="3"/>
        <v>127752.50623924116</v>
      </c>
      <c r="F37" s="88">
        <f t="shared" si="3"/>
        <v>138088.74164585173</v>
      </c>
      <c r="G37" s="88">
        <f t="shared" si="3"/>
        <v>130238.91948263053</v>
      </c>
    </row>
    <row r="39" spans="1:10" ht="42" customHeight="1">
      <c r="A39" s="36" t="s">
        <v>160</v>
      </c>
      <c r="B39" s="92" t="s">
        <v>111</v>
      </c>
      <c r="C39" s="92" t="s">
        <v>37</v>
      </c>
      <c r="D39" s="92" t="s">
        <v>38</v>
      </c>
      <c r="E39" s="92" t="s">
        <v>39</v>
      </c>
      <c r="F39" s="92" t="s">
        <v>40</v>
      </c>
      <c r="G39" s="92" t="s">
        <v>41</v>
      </c>
      <c r="H39" s="6"/>
      <c r="I39" s="6"/>
      <c r="J39" s="6"/>
    </row>
    <row r="40" spans="1:10" ht="58.2" customHeight="1">
      <c r="A40" s="92" t="s">
        <v>112</v>
      </c>
      <c r="B40" s="40" t="s">
        <v>116</v>
      </c>
      <c r="C40" s="93">
        <v>11492</v>
      </c>
      <c r="D40" s="93">
        <v>11492</v>
      </c>
      <c r="E40" s="93">
        <v>11492</v>
      </c>
      <c r="F40" s="93">
        <v>11492</v>
      </c>
      <c r="G40" s="93">
        <v>11492</v>
      </c>
      <c r="H40" s="6"/>
      <c r="I40" s="6"/>
    </row>
    <row r="41" spans="1:10" ht="18">
      <c r="A41" s="92" t="s">
        <v>117</v>
      </c>
      <c r="B41" s="41" t="s">
        <v>121</v>
      </c>
      <c r="C41" s="93">
        <v>0</v>
      </c>
      <c r="D41" s="93">
        <f>'Forecast Calculation'!C27/25</f>
        <v>6000</v>
      </c>
      <c r="E41" s="93">
        <v>6000</v>
      </c>
      <c r="F41" s="93">
        <v>6000</v>
      </c>
      <c r="G41" s="93">
        <v>6000</v>
      </c>
      <c r="H41" s="6"/>
      <c r="I41" s="6"/>
    </row>
    <row r="42" spans="1:10" ht="34.799999999999997" customHeight="1">
      <c r="A42" s="92" t="s">
        <v>118</v>
      </c>
      <c r="B42" s="41" t="s">
        <v>122</v>
      </c>
      <c r="C42" s="93">
        <v>0</v>
      </c>
      <c r="D42" s="93">
        <v>0</v>
      </c>
      <c r="E42" s="93">
        <v>16000</v>
      </c>
      <c r="F42" s="93">
        <f>'Forecast Calculation'!D27/25</f>
        <v>16000</v>
      </c>
      <c r="G42" s="93">
        <v>16000</v>
      </c>
      <c r="H42" s="6"/>
      <c r="I42" s="6"/>
    </row>
    <row r="43" spans="1:10" ht="35.4" customHeight="1">
      <c r="A43" s="92" t="s">
        <v>119</v>
      </c>
      <c r="B43" s="41" t="s">
        <v>123</v>
      </c>
      <c r="C43" s="93">
        <v>0</v>
      </c>
      <c r="D43" s="93">
        <v>0</v>
      </c>
      <c r="E43" s="93">
        <v>0</v>
      </c>
      <c r="F43" s="93">
        <f>'Forecast Calculation'!E27/25</f>
        <v>20000</v>
      </c>
      <c r="G43" s="93">
        <v>20000</v>
      </c>
      <c r="H43" s="6"/>
      <c r="I43" s="6"/>
    </row>
    <row r="44" spans="1:10" ht="37.200000000000003" customHeight="1">
      <c r="A44" s="92" t="s">
        <v>120</v>
      </c>
      <c r="B44" s="41" t="s">
        <v>124</v>
      </c>
      <c r="C44" s="93">
        <v>0</v>
      </c>
      <c r="D44" s="93">
        <v>0</v>
      </c>
      <c r="E44" s="93">
        <v>0</v>
      </c>
      <c r="F44" s="93">
        <v>0</v>
      </c>
      <c r="G44" s="93">
        <f>'Forecast Calculation'!F27/25</f>
        <v>8000</v>
      </c>
      <c r="H44" s="6"/>
      <c r="I44" s="6"/>
    </row>
    <row r="45" spans="1:10" ht="18">
      <c r="A45" s="42" t="s">
        <v>113</v>
      </c>
      <c r="B45" s="42" t="s">
        <v>46</v>
      </c>
      <c r="C45" s="41">
        <f>SUM(C40:C44)</f>
        <v>11492</v>
      </c>
      <c r="D45" s="41">
        <f>SUM(D40:D44)</f>
        <v>17492</v>
      </c>
      <c r="E45" s="41">
        <f>SUM(E40:E44)</f>
        <v>33492</v>
      </c>
      <c r="F45" s="41">
        <f>SUM(F40:F44)</f>
        <v>53492</v>
      </c>
      <c r="G45" s="41">
        <f>SUM(G40:G44)</f>
        <v>61492</v>
      </c>
      <c r="H45" s="6"/>
      <c r="I45" s="6"/>
    </row>
    <row r="46" spans="1:10" ht="43.8" customHeight="1">
      <c r="A46" s="94" t="s">
        <v>125</v>
      </c>
      <c r="B46" s="6"/>
      <c r="C46" s="6"/>
      <c r="D46" s="6"/>
      <c r="E46" s="6"/>
      <c r="F46" s="6"/>
      <c r="G46" s="6"/>
      <c r="H46" s="6"/>
      <c r="I46" s="6"/>
    </row>
    <row r="47" spans="1:10" ht="21">
      <c r="A47" s="94" t="s">
        <v>126</v>
      </c>
      <c r="B47" s="6"/>
      <c r="C47" s="6"/>
      <c r="D47" s="6"/>
      <c r="E47" s="6"/>
      <c r="F47" s="6"/>
      <c r="G47" s="6"/>
      <c r="H47" s="6"/>
      <c r="I47" s="6"/>
    </row>
    <row r="48" spans="1:10" ht="21">
      <c r="A48" s="94" t="s">
        <v>179</v>
      </c>
      <c r="B48" s="6"/>
      <c r="C48" s="6"/>
      <c r="D48" s="6"/>
      <c r="E48" s="6"/>
      <c r="F48" s="6"/>
      <c r="G48" s="6"/>
      <c r="H48" s="6"/>
      <c r="I48" s="6"/>
    </row>
    <row r="49" spans="1:9" ht="18">
      <c r="B49" s="37"/>
      <c r="C49" s="6"/>
      <c r="D49" s="6"/>
      <c r="E49" s="6"/>
      <c r="F49" s="6"/>
      <c r="G49" s="6"/>
      <c r="H49" s="6"/>
      <c r="I49" s="6"/>
    </row>
    <row r="50" spans="1:9" ht="19.05" customHeight="1">
      <c r="A50" s="219" t="s">
        <v>141</v>
      </c>
      <c r="B50" s="219"/>
      <c r="C50" s="219"/>
      <c r="D50" s="219"/>
      <c r="E50" s="219"/>
      <c r="F50" s="219"/>
      <c r="G50" s="219"/>
      <c r="H50" s="219"/>
    </row>
    <row r="51" spans="1:9" ht="19.05" customHeight="1">
      <c r="A51" s="30" t="s">
        <v>136</v>
      </c>
      <c r="B51" s="30" t="s">
        <v>142</v>
      </c>
      <c r="C51" s="30" t="s">
        <v>44</v>
      </c>
      <c r="D51" s="30" t="s">
        <v>37</v>
      </c>
      <c r="E51" s="30" t="s">
        <v>38</v>
      </c>
      <c r="F51" s="30" t="s">
        <v>39</v>
      </c>
      <c r="G51" s="30" t="s">
        <v>40</v>
      </c>
      <c r="H51" s="30" t="s">
        <v>41</v>
      </c>
    </row>
    <row r="52" spans="1:9" ht="19.05" customHeight="1">
      <c r="A52" s="30" t="s">
        <v>60</v>
      </c>
      <c r="B52" s="31"/>
      <c r="C52" s="134">
        <v>275457</v>
      </c>
      <c r="D52" s="134">
        <v>565900</v>
      </c>
      <c r="E52" s="134">
        <v>991800</v>
      </c>
      <c r="F52" s="134">
        <v>1584500</v>
      </c>
      <c r="G52" s="134">
        <v>1857150</v>
      </c>
      <c r="H52" s="134">
        <v>2062000</v>
      </c>
    </row>
    <row r="53" spans="1:9" ht="19.05" customHeight="1">
      <c r="A53" s="143" t="s">
        <v>143</v>
      </c>
      <c r="B53" s="135"/>
      <c r="C53" s="135"/>
      <c r="D53" s="135"/>
      <c r="E53" s="135"/>
      <c r="F53" s="135"/>
      <c r="G53" s="135"/>
      <c r="H53" s="135"/>
    </row>
    <row r="54" spans="1:9" ht="19.05" customHeight="1">
      <c r="A54" s="140" t="s">
        <v>137</v>
      </c>
      <c r="B54" s="141">
        <f>C54/C52</f>
        <v>5.3155301916451569E-2</v>
      </c>
      <c r="C54" s="142">
        <v>14642</v>
      </c>
      <c r="D54" s="142">
        <f>D52*$B$54</f>
        <v>30080.585354519942</v>
      </c>
      <c r="E54" s="142">
        <f>E52*$B$54</f>
        <v>52719.428440736665</v>
      </c>
      <c r="F54" s="142">
        <f>F52*$B$54</f>
        <v>84224.575886617517</v>
      </c>
      <c r="G54" s="142">
        <f>G52*$B$54</f>
        <v>98717.36895413803</v>
      </c>
      <c r="H54" s="142">
        <f>H52*$B$54</f>
        <v>109606.23255172314</v>
      </c>
    </row>
    <row r="55" spans="1:9" ht="19.05" customHeight="1">
      <c r="A55" s="30" t="s">
        <v>192</v>
      </c>
      <c r="B55" s="31" t="s">
        <v>46</v>
      </c>
      <c r="C55" s="134">
        <v>171560</v>
      </c>
      <c r="D55" s="134">
        <f>'Forecast Calculation'!C11 * 60%</f>
        <v>210514.8</v>
      </c>
      <c r="E55" s="134">
        <f>'Forecast Calculation'!D11 * 40%</f>
        <v>218196</v>
      </c>
      <c r="F55" s="134">
        <f>'Forecast Calculation'!E11 * 25%</f>
        <v>198062.5</v>
      </c>
      <c r="G55" s="134">
        <f>'Forecast Calculation'!F11 * 20%</f>
        <v>170857.80000000002</v>
      </c>
      <c r="H55" s="134">
        <f>'Forecast Calculation'!G11 * 18%</f>
        <v>159598.79999999999</v>
      </c>
    </row>
    <row r="56" spans="1:9" ht="19.05" customHeight="1">
      <c r="A56" s="30" t="s">
        <v>35</v>
      </c>
      <c r="B56" s="31">
        <f>C56/C52</f>
        <v>6.2699441292107291E-2</v>
      </c>
      <c r="C56" s="134">
        <v>17271</v>
      </c>
      <c r="D56" s="134">
        <f>D52*$B$56</f>
        <v>35481.613827203517</v>
      </c>
      <c r="E56" s="134">
        <f>E52*$B$56</f>
        <v>62185.305873512014</v>
      </c>
      <c r="F56" s="134">
        <f>F52*$B$56</f>
        <v>99347.264727344009</v>
      </c>
      <c r="G56" s="134">
        <f>G52*$B$56</f>
        <v>116442.26739563706</v>
      </c>
      <c r="H56" s="134">
        <f>H52*$B$56</f>
        <v>129286.24794432524</v>
      </c>
    </row>
    <row r="57" spans="1:9" ht="19.05" customHeight="1">
      <c r="A57" s="30"/>
      <c r="B57" s="136"/>
      <c r="C57" s="137"/>
      <c r="D57" s="137"/>
      <c r="E57" s="137"/>
      <c r="F57" s="137"/>
      <c r="G57" s="134"/>
      <c r="H57" s="134"/>
    </row>
    <row r="58" spans="1:9" ht="19.05" customHeight="1">
      <c r="A58" s="143" t="s">
        <v>144</v>
      </c>
      <c r="B58" s="138"/>
      <c r="C58" s="135"/>
      <c r="D58" s="135"/>
      <c r="E58" s="135"/>
      <c r="F58" s="135"/>
      <c r="G58" s="135"/>
      <c r="H58" s="135"/>
    </row>
    <row r="59" spans="1:9" ht="19.05" customHeight="1">
      <c r="A59" s="30" t="s">
        <v>138</v>
      </c>
      <c r="B59" s="31">
        <f>C59/'Forecast Calculation'!$B$11</f>
        <v>0.19013014227990185</v>
      </c>
      <c r="C59" s="134">
        <v>36655</v>
      </c>
      <c r="D59" s="134">
        <f>$B$59*'Forecast Calculation'!C11</f>
        <v>66708.6814600418</v>
      </c>
      <c r="E59" s="134">
        <f>$B$59*'Forecast Calculation'!D11</f>
        <v>103714.09131226366</v>
      </c>
      <c r="F59" s="134">
        <f>$B$59*'Forecast Calculation'!E11</f>
        <v>150630.60522125225</v>
      </c>
      <c r="G59" s="134">
        <f>$B$59*'Forecast Calculation'!F11</f>
        <v>162426.08911815507</v>
      </c>
      <c r="H59" s="134">
        <f>$B$59*'Forecast Calculation'!G11</f>
        <v>168580.79195389777</v>
      </c>
    </row>
    <row r="60" spans="1:9" ht="19.05" customHeight="1">
      <c r="A60" s="30" t="s">
        <v>198</v>
      </c>
      <c r="B60" s="31" t="s">
        <v>46</v>
      </c>
      <c r="C60" s="134">
        <v>74301</v>
      </c>
      <c r="D60" s="134">
        <v>60000</v>
      </c>
      <c r="E60" s="134">
        <v>40000</v>
      </c>
      <c r="F60" s="134">
        <v>50000</v>
      </c>
      <c r="G60" s="134">
        <v>35000</v>
      </c>
      <c r="H60" s="134">
        <v>25000</v>
      </c>
    </row>
    <row r="61" spans="1:9" ht="19.05" customHeight="1">
      <c r="A61" s="30" t="s">
        <v>199</v>
      </c>
      <c r="B61" s="31">
        <f>C61/('Forecast Calculation'!B11 + 'Forecast Calculation'!B13)</f>
        <v>0.11414278919486313</v>
      </c>
      <c r="C61" s="134">
        <v>34797</v>
      </c>
      <c r="D61" s="134">
        <f>('Forecast Calculation'!C11+'Forecast Calculation'!C13)*$B$61</f>
        <v>53935.492678486495</v>
      </c>
      <c r="E61" s="134">
        <f>('Forecast Calculation'!D11+'Forecast Calculation'!D13)*$B$61</f>
        <v>79244.772826425673</v>
      </c>
      <c r="F61" s="134">
        <f>('Forecast Calculation'!E11+'Forecast Calculation'!E13)*$B$61</f>
        <v>108515.54968755638</v>
      </c>
      <c r="G61" s="134">
        <f>('Forecast Calculation'!F11+'Forecast Calculation'!F13)*$B$61</f>
        <v>116589.15452428204</v>
      </c>
      <c r="H61" s="134">
        <f>('Forecast Calculation'!G11+'Forecast Calculation'!G13)*$B$61</f>
        <v>120976.2896983812</v>
      </c>
    </row>
    <row r="62" spans="1:9" ht="19.05" customHeight="1">
      <c r="A62" s="30" t="s">
        <v>145</v>
      </c>
      <c r="B62" s="31">
        <f>C62/C52</f>
        <v>9.2921944259902634E-2</v>
      </c>
      <c r="C62" s="134">
        <v>25596</v>
      </c>
      <c r="D62" s="134">
        <f>D52*$B$62</f>
        <v>52584.528256678903</v>
      </c>
      <c r="E62" s="134">
        <f>E52*$B$62</f>
        <v>92159.98431697143</v>
      </c>
      <c r="F62" s="134">
        <f>F52*$B$62</f>
        <v>147234.82067981572</v>
      </c>
      <c r="G62" s="134">
        <f>G52*$B$62</f>
        <v>172569.98878227817</v>
      </c>
      <c r="H62" s="134">
        <f>H52*$B$62</f>
        <v>191605.04906391923</v>
      </c>
    </row>
    <row r="63" spans="1:9" ht="19.05" customHeight="1">
      <c r="A63" s="144" t="s">
        <v>139</v>
      </c>
      <c r="B63" s="121"/>
      <c r="C63" s="139">
        <f t="shared" ref="C63:H63" si="4">SUM(C54:C56)-SUM(C59:C62)</f>
        <v>32124</v>
      </c>
      <c r="D63" s="139">
        <f t="shared" si="4"/>
        <v>42848.296786516265</v>
      </c>
      <c r="E63" s="139">
        <f t="shared" si="4"/>
        <v>17981.885858587921</v>
      </c>
      <c r="F63" s="139">
        <f t="shared" si="4"/>
        <v>-74746.634974662797</v>
      </c>
      <c r="G63" s="139">
        <f t="shared" si="4"/>
        <v>-100567.79607494018</v>
      </c>
      <c r="H63" s="139">
        <f t="shared" si="4"/>
        <v>-107670.85022014979</v>
      </c>
    </row>
    <row r="64" spans="1:9" ht="19.05" customHeight="1">
      <c r="A64" s="144" t="s">
        <v>140</v>
      </c>
      <c r="B64" s="121"/>
      <c r="C64" s="139">
        <v>23944</v>
      </c>
      <c r="D64" s="139">
        <f>D63-C63</f>
        <v>10724.296786516265</v>
      </c>
      <c r="E64" s="139">
        <f>E63-D63</f>
        <v>-24866.410927928344</v>
      </c>
      <c r="F64" s="139">
        <f>F63-E63</f>
        <v>-92728.520833250717</v>
      </c>
      <c r="G64" s="139">
        <f>G63-F63</f>
        <v>-25821.161100277386</v>
      </c>
      <c r="H64" s="139">
        <f>H63-G63</f>
        <v>-7103.0541452096077</v>
      </c>
    </row>
    <row r="65" spans="5:6" ht="18">
      <c r="E65" s="6"/>
      <c r="F65" s="6"/>
    </row>
    <row r="66" spans="5:6" ht="18">
      <c r="E66" s="6"/>
      <c r="F66" s="6"/>
    </row>
    <row r="67" spans="5:6" ht="18">
      <c r="E67" s="6"/>
      <c r="F67" s="6"/>
    </row>
    <row r="68" spans="5:6" ht="18">
      <c r="E68" s="6"/>
      <c r="F68" s="6"/>
    </row>
    <row r="69" spans="5:6" ht="18">
      <c r="E69" s="6"/>
      <c r="F69" s="6"/>
    </row>
    <row r="87" spans="1:1">
      <c r="A87" s="165"/>
    </row>
  </sheetData>
  <mergeCells count="3">
    <mergeCell ref="A50:H50"/>
    <mergeCell ref="A1:G1"/>
    <mergeCell ref="A24:G2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C98D-57D5-4271-BD78-7E00F4472E18}">
  <dimension ref="A1:L82"/>
  <sheetViews>
    <sheetView tabSelected="1" topLeftCell="A38" zoomScale="70" zoomScaleNormal="70" workbookViewId="0">
      <selection activeCell="N18" sqref="N17:N18"/>
    </sheetView>
  </sheetViews>
  <sheetFormatPr defaultRowHeight="14.4"/>
  <cols>
    <col min="1" max="4" width="24.77734375" style="2" customWidth="1"/>
    <col min="5" max="16384" width="8.88671875" style="2"/>
  </cols>
  <sheetData>
    <row r="1" spans="1:12" ht="21">
      <c r="A1" s="221" t="s">
        <v>165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3" spans="1:12" ht="18.600000000000001" thickBot="1">
      <c r="A3" s="9" t="s">
        <v>166</v>
      </c>
    </row>
    <row r="4" spans="1:12" ht="28.2" thickBot="1">
      <c r="A4" s="63" t="s">
        <v>50</v>
      </c>
      <c r="B4" s="63" t="s">
        <v>51</v>
      </c>
      <c r="C4" s="63" t="s">
        <v>52</v>
      </c>
      <c r="D4" s="64" t="s">
        <v>53</v>
      </c>
    </row>
    <row r="5" spans="1:12" ht="15" thickBot="1">
      <c r="A5" s="63" t="s">
        <v>37</v>
      </c>
      <c r="B5" s="65">
        <v>4000000</v>
      </c>
      <c r="C5" s="63" t="s">
        <v>54</v>
      </c>
      <c r="D5" s="66">
        <v>3690000</v>
      </c>
    </row>
    <row r="6" spans="1:12" ht="15" thickBot="1">
      <c r="A6" s="63" t="s">
        <v>38</v>
      </c>
      <c r="B6" s="65">
        <v>6000000</v>
      </c>
      <c r="C6" s="63" t="s">
        <v>55</v>
      </c>
      <c r="D6" s="66">
        <v>5380000</v>
      </c>
    </row>
    <row r="7" spans="1:12" ht="15" thickBot="1">
      <c r="A7" s="63" t="s">
        <v>39</v>
      </c>
      <c r="B7" s="65">
        <v>6500000</v>
      </c>
      <c r="C7" s="63" t="s">
        <v>56</v>
      </c>
      <c r="D7" s="66">
        <v>4950000</v>
      </c>
    </row>
    <row r="8" spans="1:12" ht="15" thickBot="1">
      <c r="A8" s="63" t="s">
        <v>40</v>
      </c>
      <c r="B8" s="65">
        <v>7300000</v>
      </c>
      <c r="C8" s="63" t="s">
        <v>57</v>
      </c>
      <c r="D8" s="66">
        <v>4665000</v>
      </c>
    </row>
    <row r="9" spans="1:12" ht="15" thickBot="1">
      <c r="A9" s="63" t="s">
        <v>41</v>
      </c>
      <c r="B9" s="65">
        <v>7300000</v>
      </c>
      <c r="C9" s="63" t="s">
        <v>58</v>
      </c>
      <c r="D9" s="66">
        <v>4200000</v>
      </c>
    </row>
    <row r="11" spans="1:12">
      <c r="A11" s="71" t="s">
        <v>167</v>
      </c>
      <c r="B11" s="28"/>
      <c r="C11" s="28"/>
      <c r="D11" s="29"/>
    </row>
    <row r="12" spans="1:12">
      <c r="A12" s="72" t="s">
        <v>66</v>
      </c>
      <c r="B12" s="73"/>
      <c r="C12" s="73"/>
      <c r="D12" s="67"/>
    </row>
    <row r="13" spans="1:12">
      <c r="A13" s="74" t="s">
        <v>163</v>
      </c>
      <c r="B13" s="75"/>
      <c r="C13" s="75"/>
      <c r="D13" s="26"/>
    </row>
    <row r="14" spans="1:12">
      <c r="A14" s="74" t="s">
        <v>164</v>
      </c>
      <c r="B14" s="75"/>
      <c r="C14" s="75"/>
      <c r="D14" s="26"/>
    </row>
    <row r="15" spans="1:12">
      <c r="A15" s="74" t="s">
        <v>67</v>
      </c>
      <c r="B15" s="75"/>
      <c r="C15" s="75"/>
      <c r="D15" s="26"/>
    </row>
    <row r="16" spans="1:12">
      <c r="A16" s="74" t="s">
        <v>68</v>
      </c>
      <c r="B16" s="75"/>
      <c r="C16" s="75"/>
      <c r="D16" s="26"/>
    </row>
    <row r="17" spans="1:4">
      <c r="A17" s="74" t="s">
        <v>69</v>
      </c>
      <c r="B17" s="75"/>
      <c r="C17" s="75"/>
      <c r="D17" s="26"/>
    </row>
    <row r="18" spans="1:4">
      <c r="A18" s="74" t="s">
        <v>70</v>
      </c>
      <c r="B18" s="75"/>
      <c r="C18" s="75"/>
      <c r="D18" s="26"/>
    </row>
    <row r="19" spans="1:4">
      <c r="A19" s="74" t="s">
        <v>71</v>
      </c>
      <c r="B19" s="75"/>
      <c r="C19" s="75"/>
      <c r="D19" s="26"/>
    </row>
    <row r="20" spans="1:4">
      <c r="A20" s="74" t="s">
        <v>72</v>
      </c>
      <c r="B20" s="75"/>
      <c r="C20" s="75"/>
      <c r="D20" s="26"/>
    </row>
    <row r="21" spans="1:4">
      <c r="A21" s="74"/>
      <c r="B21" s="75"/>
      <c r="C21" s="75"/>
      <c r="D21" s="26"/>
    </row>
    <row r="22" spans="1:4">
      <c r="A22" s="74" t="s">
        <v>73</v>
      </c>
      <c r="B22" s="75"/>
      <c r="C22" s="75"/>
      <c r="D22" s="26"/>
    </row>
    <row r="23" spans="1:4">
      <c r="A23" s="74" t="s">
        <v>74</v>
      </c>
      <c r="B23" s="75"/>
      <c r="C23" s="75"/>
      <c r="D23" s="26"/>
    </row>
    <row r="24" spans="1:4">
      <c r="A24" s="74" t="s">
        <v>75</v>
      </c>
      <c r="B24" s="75"/>
      <c r="C24" s="75"/>
      <c r="D24" s="26"/>
    </row>
    <row r="25" spans="1:4">
      <c r="A25" s="76" t="s">
        <v>76</v>
      </c>
      <c r="B25" s="77"/>
      <c r="C25" s="77"/>
      <c r="D25" s="27"/>
    </row>
    <row r="26" spans="1:4">
      <c r="A26"/>
      <c r="B26"/>
      <c r="C26"/>
      <c r="D26"/>
    </row>
    <row r="27" spans="1:4" ht="15" thickBot="1">
      <c r="A27" s="71" t="s">
        <v>168</v>
      </c>
      <c r="B27" s="28"/>
      <c r="C27" s="28"/>
      <c r="D27" s="29"/>
    </row>
    <row r="28" spans="1:4" ht="15" thickBot="1">
      <c r="A28" s="78" t="s">
        <v>50</v>
      </c>
      <c r="B28" s="78" t="s">
        <v>61</v>
      </c>
      <c r="C28" s="224" t="s">
        <v>77</v>
      </c>
      <c r="D28" s="225"/>
    </row>
    <row r="29" spans="1:4" ht="15" thickBot="1">
      <c r="A29" s="78" t="s">
        <v>44</v>
      </c>
      <c r="B29" s="79">
        <v>0.40699999999999997</v>
      </c>
      <c r="C29" s="227" t="s">
        <v>78</v>
      </c>
      <c r="D29" s="228"/>
    </row>
    <row r="30" spans="1:4" ht="15" thickBot="1">
      <c r="A30" s="78" t="s">
        <v>37</v>
      </c>
      <c r="B30" s="79">
        <v>0.215</v>
      </c>
      <c r="C30" s="227" t="s">
        <v>79</v>
      </c>
      <c r="D30" s="228"/>
    </row>
    <row r="31" spans="1:4" ht="15" thickBot="1">
      <c r="A31" s="78" t="s">
        <v>38</v>
      </c>
      <c r="B31" s="79">
        <v>0.15</v>
      </c>
      <c r="C31" s="227" t="s">
        <v>80</v>
      </c>
      <c r="D31" s="228"/>
    </row>
    <row r="32" spans="1:4" ht="15" thickBot="1">
      <c r="A32" s="78" t="s">
        <v>39</v>
      </c>
      <c r="B32" s="79">
        <v>0.1</v>
      </c>
      <c r="C32" s="227" t="s">
        <v>81</v>
      </c>
      <c r="D32" s="228"/>
    </row>
    <row r="33" spans="1:7" ht="15" thickBot="1">
      <c r="A33" s="78" t="s">
        <v>40</v>
      </c>
      <c r="B33" s="79">
        <v>0.09</v>
      </c>
      <c r="C33" s="227" t="s">
        <v>82</v>
      </c>
      <c r="D33" s="228"/>
    </row>
    <row r="34" spans="1:7">
      <c r="A34" s="80" t="s">
        <v>41</v>
      </c>
      <c r="B34" s="81">
        <v>8.4000000000000005E-2</v>
      </c>
      <c r="C34" s="222" t="s">
        <v>83</v>
      </c>
      <c r="D34" s="223"/>
    </row>
    <row r="35" spans="1:7">
      <c r="A35" s="68"/>
      <c r="B35" s="68"/>
      <c r="C35" s="68"/>
      <c r="D35" s="68"/>
    </row>
    <row r="36" spans="1:7" ht="15" thickBot="1">
      <c r="A36" s="226" t="s">
        <v>169</v>
      </c>
      <c r="B36" s="226"/>
      <c r="C36" s="226"/>
      <c r="D36" s="226"/>
    </row>
    <row r="37" spans="1:7" ht="15" thickBot="1">
      <c r="A37" s="82" t="s">
        <v>50</v>
      </c>
      <c r="B37" s="82" t="s">
        <v>86</v>
      </c>
      <c r="C37" s="82" t="s">
        <v>87</v>
      </c>
      <c r="D37" s="83" t="s">
        <v>88</v>
      </c>
    </row>
    <row r="38" spans="1:7" ht="58.2" thickBot="1">
      <c r="A38" s="82" t="s">
        <v>44</v>
      </c>
      <c r="B38" s="82" t="s">
        <v>89</v>
      </c>
      <c r="C38" s="82" t="s">
        <v>170</v>
      </c>
      <c r="D38" s="84" t="s">
        <v>90</v>
      </c>
    </row>
    <row r="39" spans="1:7" ht="115.8" thickBot="1">
      <c r="A39" s="82" t="s">
        <v>37</v>
      </c>
      <c r="B39" s="82" t="s">
        <v>91</v>
      </c>
      <c r="C39" s="82" t="s">
        <v>171</v>
      </c>
      <c r="D39" s="83" t="s">
        <v>100</v>
      </c>
    </row>
    <row r="40" spans="1:7" ht="101.4" thickBot="1">
      <c r="A40" s="82" t="s">
        <v>38</v>
      </c>
      <c r="B40" s="82" t="s">
        <v>92</v>
      </c>
      <c r="C40" s="82" t="s">
        <v>172</v>
      </c>
      <c r="D40" s="84" t="s">
        <v>93</v>
      </c>
    </row>
    <row r="41" spans="1:7" ht="101.4" thickBot="1">
      <c r="A41" s="82" t="s">
        <v>39</v>
      </c>
      <c r="B41" s="82" t="s">
        <v>94</v>
      </c>
      <c r="C41" s="82" t="s">
        <v>173</v>
      </c>
      <c r="D41" s="83" t="s">
        <v>95</v>
      </c>
    </row>
    <row r="42" spans="1:7" ht="87" thickBot="1">
      <c r="A42" s="82" t="s">
        <v>40</v>
      </c>
      <c r="B42" s="82" t="s">
        <v>91</v>
      </c>
      <c r="C42" s="82" t="s">
        <v>174</v>
      </c>
      <c r="D42" s="84" t="s">
        <v>96</v>
      </c>
    </row>
    <row r="43" spans="1:7" ht="87" thickBot="1">
      <c r="A43" s="82" t="s">
        <v>41</v>
      </c>
      <c r="B43" s="82" t="s">
        <v>97</v>
      </c>
      <c r="C43" s="82" t="s">
        <v>175</v>
      </c>
      <c r="D43" s="84" t="s">
        <v>98</v>
      </c>
    </row>
    <row r="44" spans="1:7">
      <c r="A44" s="85"/>
      <c r="B44" s="85"/>
      <c r="C44" s="85"/>
      <c r="D44" s="86"/>
    </row>
    <row r="45" spans="1:7" ht="28.8">
      <c r="A45" s="69" t="s">
        <v>176</v>
      </c>
      <c r="B45" s="69"/>
      <c r="C45" s="69"/>
      <c r="D45" s="69"/>
      <c r="F45" s="61"/>
      <c r="G45" s="61"/>
    </row>
    <row r="46" spans="1:7">
      <c r="A46" s="69" t="s">
        <v>50</v>
      </c>
      <c r="B46" s="69" t="s">
        <v>101</v>
      </c>
      <c r="C46" s="69" t="s">
        <v>77</v>
      </c>
      <c r="D46" s="69"/>
    </row>
    <row r="47" spans="1:7" ht="28.8">
      <c r="A47" s="69" t="s">
        <v>44</v>
      </c>
      <c r="B47" s="70">
        <v>4108</v>
      </c>
      <c r="C47" s="69" t="s">
        <v>102</v>
      </c>
      <c r="D47" s="69"/>
    </row>
    <row r="48" spans="1:7" ht="28.8">
      <c r="A48" s="69" t="s">
        <v>37</v>
      </c>
      <c r="B48" s="70">
        <v>10000</v>
      </c>
      <c r="C48" s="69" t="s">
        <v>103</v>
      </c>
      <c r="D48" s="69"/>
    </row>
    <row r="49" spans="1:8" ht="28.8">
      <c r="A49" s="69" t="s">
        <v>38</v>
      </c>
      <c r="B49" s="70">
        <v>12500</v>
      </c>
      <c r="C49" s="69" t="s">
        <v>104</v>
      </c>
      <c r="D49" s="69"/>
    </row>
    <row r="50" spans="1:8" ht="28.8">
      <c r="A50" s="69" t="s">
        <v>39</v>
      </c>
      <c r="B50" s="70">
        <v>15000</v>
      </c>
      <c r="C50" s="69" t="s">
        <v>105</v>
      </c>
      <c r="D50" s="69"/>
    </row>
    <row r="51" spans="1:8" ht="28.8">
      <c r="A51" s="69" t="s">
        <v>40</v>
      </c>
      <c r="B51" s="70">
        <v>10000</v>
      </c>
      <c r="C51" s="69" t="s">
        <v>106</v>
      </c>
      <c r="D51" s="69"/>
    </row>
    <row r="52" spans="1:8" ht="28.8">
      <c r="A52" s="69" t="s">
        <v>41</v>
      </c>
      <c r="B52" s="70">
        <v>8000</v>
      </c>
      <c r="C52" s="69" t="s">
        <v>107</v>
      </c>
      <c r="D52" s="69"/>
    </row>
    <row r="53" spans="1:8">
      <c r="A53" s="2" t="s">
        <v>99</v>
      </c>
    </row>
    <row r="55" spans="1:8" ht="21">
      <c r="A55" s="232" t="s">
        <v>141</v>
      </c>
      <c r="B55" s="232"/>
      <c r="C55" s="232"/>
      <c r="D55" s="232"/>
      <c r="E55" s="232"/>
      <c r="F55" s="232"/>
      <c r="G55" s="232"/>
    </row>
    <row r="56" spans="1:8">
      <c r="A56" s="71" t="s">
        <v>189</v>
      </c>
      <c r="B56" s="28"/>
      <c r="C56" s="28"/>
      <c r="D56" s="28"/>
      <c r="E56" s="28"/>
      <c r="F56" s="28"/>
      <c r="G56" s="29"/>
    </row>
    <row r="57" spans="1:8">
      <c r="A57" s="74" t="s">
        <v>148</v>
      </c>
      <c r="B57" s="100">
        <f>('Forecast Calculation'!$C$55/'Forecast Calculation'!B11 * 365)</f>
        <v>324.80795066108544</v>
      </c>
      <c r="C57" s="100"/>
      <c r="D57" s="100"/>
      <c r="E57" s="100"/>
      <c r="F57" s="100"/>
      <c r="G57" s="101"/>
      <c r="H57" s="97"/>
    </row>
    <row r="58" spans="1:8">
      <c r="A58" s="74" t="s">
        <v>150</v>
      </c>
      <c r="B58" s="102">
        <f>'Forecast Calculation'!$C$55/'Forecast Calculation'!B11</f>
        <v>0.88988479633174089</v>
      </c>
      <c r="C58" s="75"/>
      <c r="D58" s="75"/>
      <c r="E58" s="75"/>
      <c r="F58" s="75"/>
      <c r="G58" s="26"/>
    </row>
    <row r="59" spans="1:8">
      <c r="A59" s="74" t="s">
        <v>149</v>
      </c>
      <c r="B59" s="75"/>
      <c r="C59" s="75"/>
      <c r="D59" s="75"/>
      <c r="E59" s="75"/>
      <c r="F59" s="75"/>
      <c r="G59" s="26"/>
    </row>
    <row r="60" spans="1:8">
      <c r="A60" s="99" t="s">
        <v>50</v>
      </c>
      <c r="B60" s="99" t="s">
        <v>180</v>
      </c>
      <c r="C60" s="99" t="s">
        <v>181</v>
      </c>
      <c r="D60" s="229" t="s">
        <v>182</v>
      </c>
      <c r="E60" s="230"/>
      <c r="F60" s="230"/>
      <c r="G60" s="231"/>
    </row>
    <row r="61" spans="1:8">
      <c r="A61" s="99" t="s">
        <v>44</v>
      </c>
      <c r="B61" s="99">
        <v>325</v>
      </c>
      <c r="C61" s="105">
        <v>0.89</v>
      </c>
      <c r="D61" s="229" t="s">
        <v>183</v>
      </c>
      <c r="E61" s="230"/>
      <c r="F61" s="230"/>
      <c r="G61" s="231"/>
    </row>
    <row r="62" spans="1:8">
      <c r="A62" s="99" t="s">
        <v>37</v>
      </c>
      <c r="B62" s="99">
        <v>219</v>
      </c>
      <c r="C62" s="105">
        <v>0.6</v>
      </c>
      <c r="D62" s="229" t="s">
        <v>184</v>
      </c>
      <c r="E62" s="230"/>
      <c r="F62" s="230"/>
      <c r="G62" s="231"/>
    </row>
    <row r="63" spans="1:8">
      <c r="A63" s="99" t="s">
        <v>38</v>
      </c>
      <c r="B63" s="99">
        <v>146</v>
      </c>
      <c r="C63" s="105">
        <v>0.4</v>
      </c>
      <c r="D63" s="229" t="s">
        <v>185</v>
      </c>
      <c r="E63" s="230"/>
      <c r="F63" s="230"/>
      <c r="G63" s="231"/>
    </row>
    <row r="64" spans="1:8">
      <c r="A64" s="99" t="s">
        <v>39</v>
      </c>
      <c r="B64" s="99">
        <v>91</v>
      </c>
      <c r="C64" s="105">
        <v>0.25</v>
      </c>
      <c r="D64" s="229" t="s">
        <v>186</v>
      </c>
      <c r="E64" s="230"/>
      <c r="F64" s="230"/>
      <c r="G64" s="231"/>
    </row>
    <row r="65" spans="1:7">
      <c r="A65" s="99" t="s">
        <v>40</v>
      </c>
      <c r="B65" s="99">
        <v>73</v>
      </c>
      <c r="C65" s="105">
        <v>0.2</v>
      </c>
      <c r="D65" s="229" t="s">
        <v>187</v>
      </c>
      <c r="E65" s="230"/>
      <c r="F65" s="230"/>
      <c r="G65" s="231"/>
    </row>
    <row r="66" spans="1:7">
      <c r="A66" s="99" t="s">
        <v>41</v>
      </c>
      <c r="B66" s="99">
        <v>66</v>
      </c>
      <c r="C66" s="105">
        <v>0.18</v>
      </c>
      <c r="D66" s="229" t="s">
        <v>188</v>
      </c>
      <c r="E66" s="230"/>
      <c r="F66" s="230"/>
      <c r="G66" s="231"/>
    </row>
    <row r="67" spans="1:7">
      <c r="A67" s="106"/>
      <c r="G67" s="25"/>
    </row>
    <row r="68" spans="1:7">
      <c r="A68" s="71" t="s">
        <v>190</v>
      </c>
      <c r="B68" s="28"/>
      <c r="C68" s="28"/>
      <c r="D68" s="28"/>
      <c r="E68" s="28"/>
      <c r="F68" s="28"/>
      <c r="G68" s="29"/>
    </row>
    <row r="69" spans="1:7">
      <c r="A69" s="74" t="s">
        <v>151</v>
      </c>
      <c r="B69" s="75"/>
      <c r="C69" s="75"/>
      <c r="D69" s="75"/>
      <c r="E69" s="75"/>
      <c r="F69" s="75"/>
      <c r="G69" s="26"/>
    </row>
    <row r="70" spans="1:7">
      <c r="A70" s="74" t="s">
        <v>152</v>
      </c>
      <c r="B70" s="75"/>
      <c r="C70" s="75"/>
      <c r="D70" s="75"/>
      <c r="E70" s="75"/>
      <c r="F70" s="75"/>
      <c r="G70" s="26"/>
    </row>
    <row r="71" spans="1:7">
      <c r="A71" s="74" t="s">
        <v>153</v>
      </c>
      <c r="B71" s="75"/>
      <c r="C71" s="75"/>
      <c r="D71" s="75"/>
      <c r="E71" s="75"/>
      <c r="F71" s="75"/>
      <c r="G71" s="26"/>
    </row>
    <row r="72" spans="1:7">
      <c r="A72" s="74" t="s">
        <v>154</v>
      </c>
      <c r="B72" s="75"/>
      <c r="C72" s="75"/>
      <c r="D72" s="75"/>
      <c r="E72" s="75"/>
      <c r="F72" s="75"/>
      <c r="G72" s="26"/>
    </row>
    <row r="73" spans="1:7">
      <c r="A73" s="74" t="s">
        <v>155</v>
      </c>
      <c r="B73" s="75"/>
      <c r="C73" s="75"/>
      <c r="D73" s="75"/>
      <c r="E73" s="75"/>
      <c r="F73" s="75"/>
      <c r="G73" s="26"/>
    </row>
    <row r="74" spans="1:7">
      <c r="A74" s="74" t="s">
        <v>156</v>
      </c>
      <c r="B74" s="75"/>
      <c r="C74" s="75"/>
      <c r="D74" s="75"/>
      <c r="E74" s="75"/>
      <c r="F74" s="75"/>
      <c r="G74" s="26"/>
    </row>
    <row r="75" spans="1:7">
      <c r="A75" s="76" t="s">
        <v>157</v>
      </c>
      <c r="B75" s="77"/>
      <c r="C75" s="77"/>
      <c r="D75" s="77"/>
      <c r="E75" s="77"/>
      <c r="F75" s="77"/>
      <c r="G75" s="27"/>
    </row>
    <row r="76" spans="1:7">
      <c r="A76" s="106"/>
      <c r="G76" s="25"/>
    </row>
    <row r="77" spans="1:7">
      <c r="A77" s="107" t="s">
        <v>191</v>
      </c>
      <c r="B77" s="28"/>
      <c r="C77" s="28"/>
      <c r="D77" s="28"/>
      <c r="E77" s="28"/>
      <c r="F77" s="28"/>
      <c r="G77" s="29"/>
    </row>
    <row r="78" spans="1:7">
      <c r="A78" s="74" t="s">
        <v>158</v>
      </c>
      <c r="B78" s="75"/>
      <c r="C78" s="75"/>
      <c r="D78" s="75"/>
      <c r="E78" s="75"/>
      <c r="F78" s="75"/>
      <c r="G78" s="26"/>
    </row>
    <row r="79" spans="1:7">
      <c r="A79" s="103"/>
      <c r="B79" s="75"/>
      <c r="C79" s="75"/>
      <c r="D79" s="75"/>
      <c r="E79" s="75"/>
      <c r="F79" s="75"/>
      <c r="G79" s="26"/>
    </row>
    <row r="80" spans="1:7">
      <c r="A80" s="104" t="s">
        <v>159</v>
      </c>
      <c r="B80" s="77"/>
      <c r="C80" s="77"/>
      <c r="D80" s="77"/>
      <c r="E80" s="77"/>
      <c r="F80" s="77"/>
      <c r="G80" s="27"/>
    </row>
    <row r="81" spans="1:1">
      <c r="A81" s="98"/>
    </row>
    <row r="82" spans="1:1">
      <c r="A82" s="98"/>
    </row>
  </sheetData>
  <mergeCells count="17">
    <mergeCell ref="D63:G63"/>
    <mergeCell ref="D64:G64"/>
    <mergeCell ref="A55:G55"/>
    <mergeCell ref="D65:G65"/>
    <mergeCell ref="D66:G66"/>
    <mergeCell ref="D60:G60"/>
    <mergeCell ref="D61:G61"/>
    <mergeCell ref="D62:G62"/>
    <mergeCell ref="A1:L1"/>
    <mergeCell ref="C34:D34"/>
    <mergeCell ref="C28:D28"/>
    <mergeCell ref="A36:D36"/>
    <mergeCell ref="C29:D29"/>
    <mergeCell ref="C30:D30"/>
    <mergeCell ref="C31:D31"/>
    <mergeCell ref="C32:D32"/>
    <mergeCell ref="C33:D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DCF model</vt:lpstr>
      <vt:lpstr>Forecast Calculation</vt:lpstr>
      <vt:lpstr>Assumptions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zen yii koh</cp:lastModifiedBy>
  <cp:revision/>
  <cp:lastPrinted>1899-12-30T05:00:00Z</cp:lastPrinted>
  <dcterms:created xsi:type="dcterms:W3CDTF">1899-12-30T05:00:00Z</dcterms:created>
  <dcterms:modified xsi:type="dcterms:W3CDTF">2026-05-11T10:06:33Z</dcterms:modified>
  <cp:category/>
  <cp:contentStatus/>
  <dc:language/>
  <cp:version/>
</cp:coreProperties>
</file>